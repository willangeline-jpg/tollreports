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IS" sheetId="1" r:id="rId5"/>
    <sheet state="visible" name="AEM" sheetId="2" r:id="rId6"/>
    <sheet state="visible" name="Misoteps" sheetId="3" r:id="rId7"/>
    <sheet state="visible" name="2026" sheetId="4" r:id="rId8"/>
  </sheets>
  <definedNames/>
  <calcPr/>
</workbook>
</file>

<file path=xl/sharedStrings.xml><?xml version="1.0" encoding="utf-8"?>
<sst xmlns="http://schemas.openxmlformats.org/spreadsheetml/2006/main" count="179" uniqueCount="24">
  <si>
    <t>Total Worked</t>
  </si>
  <si>
    <t>Total Received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</si>
  <si>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</si>
  <si>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</si>
  <si>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</si>
  <si>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</si>
  <si>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</si>
  <si>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</si>
  <si>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</si>
  <si>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</si>
  <si>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</si>
  <si>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</si>
  <si>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</si>
  <si>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</si>
  <si>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BOT Total Write Off</t>
  </si>
  <si>
    <t>MISOTEPS</t>
  </si>
  <si>
    <t>Total</t>
  </si>
  <si>
    <t>Q1</t>
  </si>
  <si>
    <t>Q2</t>
  </si>
  <si>
    <t>Q3</t>
  </si>
  <si>
    <t>Q4</t>
  </si>
  <si>
    <t>YTD</t>
  </si>
  <si>
    <t>IMIS</t>
  </si>
  <si>
    <t>AEM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</si>
</sst>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1.0"/>
      <color rgb="FF000000"/>
      <name val="Calibri"/>
    </font>
    <font>
      <b/>
      <color theme="1"/>
      <name val="Arial"/>
    </font>
    <font>
      <color rgb="FF000000"/>
      <name val="Arial"/>
    </font>
    <font>
      <color theme="1"/>
      <name val="Arial"/>
    </font>
    <font>
      <color theme="1"/>
      <name val="Arial"/>
      <scheme val="minor"/>
    </font>
    <font>
      <b/>
      <sz val="8.0"/>
      <color theme="1"/>
      <name val="Arial"/>
    </font>
    <font>
      <b/>
      <color rgb="FFFFFFFF"/>
      <name val="Arial"/>
    </font>
    <font>
      <b/>
      <sz val="11.0"/>
      <color rgb="FF000000"/>
      <name val="Calibri"/>
    </font>
    <font>
      <sz val="10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b/>
      <sz val="10.0"/>
      <color theme="1"/>
      <name val="Roboto"/>
    </font>
    <font>
      <sz val="10.0"/>
      <color rgb="FF000000"/>
      <name val="Roboto"/>
    </font>
    <font>
      <b/>
      <sz val="10.0"/>
      <color rgb="FF000000"/>
      <name val="Roboto"/>
    </font>
    <font>
      <sz val="10.0"/>
      <color theme="1"/>
      <name val="Roboto"/>
    </font>
    <font>
      <b/>
      <color theme="1"/>
      <name val="Arial"/>
      <scheme val="minor"/>
    </font>
    <font/>
    <font>
      <b/>
      <color theme="1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66CC00"/>
        <bgColor rgb="FF66CC00"/>
      </patternFill>
    </fill>
    <fill>
      <patternFill patternType="solid">
        <fgColor theme="0"/>
        <bgColor theme="0"/>
      </patternFill>
    </fill>
    <fill>
      <patternFill patternType="solid">
        <fgColor rgb="FF49166D"/>
        <bgColor rgb="FF49166D"/>
      </patternFill>
    </fill>
    <fill>
      <patternFill patternType="solid">
        <fgColor rgb="FF548235"/>
        <bgColor rgb="FF548235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49166D"/>
      </left>
      <top style="double">
        <color rgb="FF49166D"/>
      </top>
      <bottom style="double">
        <color rgb="FF49166D"/>
      </bottom>
    </border>
    <border>
      <top style="double">
        <color rgb="FF49166D"/>
      </top>
      <bottom style="double">
        <color rgb="FF49166D"/>
      </bottom>
    </border>
    <border>
      <right style="double">
        <color rgb="FF49166D"/>
      </right>
      <top style="double">
        <color rgb="FF49166D"/>
      </top>
      <bottom style="double">
        <color rgb="FF49166D"/>
      </bottom>
    </border>
    <border>
      <left style="double">
        <color rgb="FF49166D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double">
        <color rgb="FF49166D"/>
      </left>
      <right style="double">
        <color rgb="FF49166D"/>
      </right>
      <top style="double">
        <color rgb="FF49166D"/>
      </top>
      <bottom style="double">
        <color rgb="FF49166D"/>
      </bottom>
    </border>
    <border>
      <left style="double">
        <color rgb="FF49166D"/>
      </left>
      <right style="thin">
        <color rgb="FF000000"/>
      </right>
      <bottom style="thin">
        <color rgb="FF000000"/>
      </bottom>
    </border>
    <border>
      <left style="double">
        <color rgb="FF49166D"/>
      </left>
      <right style="double">
        <color rgb="FF000000"/>
      </right>
      <top style="double">
        <color rgb="FF000000"/>
      </top>
      <bottom style="double">
        <color rgb="FF49166D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49166D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wrapText="0"/>
    </xf>
    <xf borderId="2" fillId="2" fontId="2" numFmtId="0" xfId="0" applyAlignment="1" applyBorder="1" applyFill="1" applyFont="1">
      <alignment horizontal="center" readingOrder="0" shrinkToFit="0" wrapText="0"/>
    </xf>
    <xf borderId="3" fillId="0" fontId="3" numFmtId="0" xfId="0" applyAlignment="1" applyBorder="1" applyFont="1">
      <alignment horizontal="center" readingOrder="0" shrinkToFit="0" vertical="bottom" wrapText="0"/>
    </xf>
    <xf borderId="4" fillId="0" fontId="4" numFmtId="3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3" xfId="0" applyAlignment="1" applyBorder="1" applyFont="1" applyNumberFormat="1">
      <alignment horizontal="center" readingOrder="0" shrinkToFit="0" vertical="bottom" wrapText="0"/>
    </xf>
    <xf borderId="0" fillId="3" fontId="5" numFmtId="0" xfId="0" applyFill="1" applyFont="1"/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5" fillId="2" fontId="6" numFmtId="0" xfId="0" applyAlignment="1" applyBorder="1" applyFill="1" applyFont="1">
      <alignment horizontal="center" readingOrder="0"/>
    </xf>
    <xf borderId="6" fillId="2" fontId="6" numFmtId="0" xfId="0" applyAlignment="1" applyBorder="1" applyFill="1" applyFont="1">
      <alignment horizontal="center" readingOrder="0"/>
    </xf>
    <xf borderId="2" fillId="4" fontId="7" numFmtId="3" xfId="0" applyAlignment="1" applyBorder="1" applyFill="1" applyFont="1" applyNumberFormat="1">
      <alignment horizontal="center" readingOrder="0" shrinkToFit="0" vertical="bottom" wrapText="0"/>
    </xf>
    <xf borderId="4" fillId="4" fontId="7" numFmtId="3" xfId="0" applyAlignment="1" applyBorder="1" applyFill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5" fontId="8" numFmtId="0" xfId="0" applyAlignment="1" applyBorder="1" applyFill="1" applyFont="1">
      <alignment readingOrder="0" shrinkToFit="0" vertical="bottom" wrapText="0"/>
    </xf>
    <xf borderId="4" fillId="0" fontId="1" numFmtId="3" xfId="0" applyAlignment="1" applyBorder="1" applyFont="1" applyNumberFormat="1">
      <alignment horizontal="right" readingOrder="0" shrinkToFit="0" vertical="bottom" wrapText="0"/>
    </xf>
    <xf borderId="0" fillId="0" fontId="5" numFmtId="3" xfId="0" applyFont="1" applyNumberFormat="1"/>
    <xf borderId="4" fillId="0" fontId="3" numFmtId="3" xfId="0" applyAlignment="1" applyBorder="1" applyFont="1" applyNumberFormat="1">
      <alignment horizontal="center" readingOrder="0" shrinkToFit="0" vertical="bottom" wrapText="0"/>
    </xf>
    <xf borderId="1" fillId="0" fontId="9" numFmtId="3" xfId="0" applyAlignment="1" applyBorder="1" applyFont="1" applyNumberFormat="1">
      <alignment horizontal="center" readingOrder="0" shrinkToFit="0" vertical="bottom" wrapText="0"/>
    </xf>
    <xf borderId="1" fillId="4" fontId="7" numFmtId="3" xfId="0" applyAlignment="1" applyBorder="1" applyFill="1" applyFont="1" applyNumberFormat="1">
      <alignment horizontal="center" readingOrder="0" shrinkToFit="0" vertical="bottom" wrapText="0"/>
    </xf>
    <xf borderId="1" fillId="2" fontId="6" numFmtId="0" xfId="0" applyAlignment="1" applyBorder="1" applyFill="1" applyFont="1">
      <alignment horizontal="center" readingOrder="0" shrinkToFit="0" wrapText="0"/>
    </xf>
    <xf borderId="2" fillId="2" fontId="6" numFmtId="0" xfId="0" applyAlignment="1" applyBorder="1" applyFill="1" applyFont="1">
      <alignment horizontal="center" readingOrder="0" shrinkToFit="0" wrapText="0"/>
    </xf>
    <xf borderId="0" fillId="0" fontId="5" numFmtId="0" xfId="0" applyFont="1"/>
    <xf borderId="1" fillId="0" fontId="10" numFmtId="3" xfId="0" applyAlignment="1" applyBorder="1" applyFont="1" applyNumberFormat="1">
      <alignment horizontal="center" readingOrder="0"/>
    </xf>
    <xf borderId="0" fillId="6" fontId="5" numFmtId="0" xfId="0" applyAlignment="1" applyFill="1" applyFont="1">
      <alignment readingOrder="0"/>
    </xf>
    <xf borderId="0" fillId="6" fontId="5" numFmtId="0" xfId="0" applyFill="1" applyFont="1"/>
    <xf borderId="1" fillId="0" fontId="11" numFmtId="3" xfId="0" applyAlignment="1" applyBorder="1" applyFont="1" applyNumberFormat="1">
      <alignment horizontal="center" readingOrder="0" shrinkToFit="0" vertical="bottom" wrapText="0"/>
    </xf>
    <xf borderId="5" fillId="2" fontId="12" numFmtId="0" xfId="0" applyAlignment="1" applyBorder="1" applyFill="1" applyFont="1">
      <alignment horizontal="center" readingOrder="0"/>
    </xf>
    <xf borderId="1" fillId="0" fontId="3" numFmtId="3" xfId="0" applyAlignment="1" applyBorder="1" applyFont="1" applyNumberFormat="1">
      <alignment horizontal="center" readingOrder="0" shrinkToFit="0" vertical="bottom" wrapText="0"/>
    </xf>
    <xf borderId="6" fillId="2" fontId="12" numFmtId="0" xfId="0" applyAlignment="1" applyBorder="1" applyFill="1" applyFont="1">
      <alignment horizontal="center" readingOrder="0"/>
    </xf>
    <xf borderId="3" fillId="0" fontId="13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2" fillId="5" fontId="14" numFmtId="0" xfId="0" applyAlignment="1" applyBorder="1" applyFill="1" applyFont="1">
      <alignment horizontal="center" readingOrder="0" shrinkToFit="0" vertical="bottom" wrapText="0"/>
    </xf>
    <xf borderId="1" fillId="0" fontId="15" numFmtId="3" xfId="0" applyAlignment="1" applyBorder="1" applyFont="1" applyNumberFormat="1">
      <alignment horizontal="center" readingOrder="0"/>
    </xf>
    <xf borderId="4" fillId="0" fontId="13" numFmtId="3" xfId="0" applyAlignment="1" applyBorder="1" applyFont="1" applyNumberFormat="1">
      <alignment horizontal="center" readingOrder="0" shrinkToFit="0" vertical="bottom" wrapText="0"/>
    </xf>
    <xf borderId="0" fillId="0" fontId="13" numFmtId="0" xfId="0" applyAlignment="1" applyFont="1">
      <alignment shrinkToFit="0" vertical="bottom" wrapText="0"/>
    </xf>
    <xf borderId="1" fillId="2" fontId="12" numFmtId="0" xfId="0" applyAlignment="1" applyBorder="1" applyFill="1" applyFont="1">
      <alignment horizontal="center" readingOrder="0" shrinkToFit="0" wrapText="0"/>
    </xf>
    <xf borderId="2" fillId="2" fontId="12" numFmtId="0" xfId="0" applyAlignment="1" applyBorder="1" applyFill="1" applyFont="1">
      <alignment horizontal="center" readingOrder="0" shrinkToFit="0" wrapText="0"/>
    </xf>
    <xf borderId="1" fillId="0" fontId="13" numFmtId="3" xfId="0" applyAlignment="1" applyBorder="1" applyFont="1" applyNumberFormat="1">
      <alignment horizontal="center" readingOrder="0" shrinkToFit="0" vertical="bottom" wrapText="0"/>
    </xf>
    <xf borderId="0" fillId="0" fontId="5" numFmtId="3" xfId="0" applyAlignment="1" applyFont="1" applyNumberFormat="1">
      <alignment readingOrder="0"/>
    </xf>
    <xf borderId="7" fillId="7" fontId="16" numFmtId="0" xfId="0" applyAlignment="1" applyBorder="1" applyFill="1" applyFont="1">
      <alignment horizontal="center" readingOrder="0"/>
    </xf>
    <xf borderId="8" fillId="0" fontId="17" numFmtId="0" xfId="0" applyBorder="1" applyFont="1"/>
    <xf borderId="9" fillId="0" fontId="17" numFmtId="0" xfId="0" applyBorder="1" applyFont="1"/>
    <xf borderId="10" fillId="0" fontId="5" numFmtId="0" xfId="0" applyBorder="1" applyFont="1"/>
    <xf borderId="11" fillId="2" fontId="12" numFmtId="0" xfId="0" applyAlignment="1" applyBorder="1" applyFill="1" applyFont="1">
      <alignment horizontal="center" readingOrder="0" shrinkToFit="0" wrapText="0"/>
    </xf>
    <xf borderId="12" fillId="2" fontId="12" numFmtId="0" xfId="0" applyAlignment="1" applyBorder="1" applyFill="1" applyFont="1">
      <alignment horizontal="center" readingOrder="0" shrinkToFit="0" wrapText="0"/>
    </xf>
    <xf borderId="13" fillId="0" fontId="16" numFmtId="0" xfId="0" applyAlignment="1" applyBorder="1" applyFont="1">
      <alignment horizontal="center" readingOrder="0"/>
    </xf>
    <xf borderId="10" fillId="8" fontId="16" numFmtId="0" xfId="0" applyAlignment="1" applyBorder="1" applyFill="1" applyFont="1">
      <alignment horizontal="center" readingOrder="0" shrinkToFit="0" vertical="center" wrapText="1"/>
    </xf>
    <xf borderId="1" fillId="0" fontId="5" numFmtId="3" xfId="0" applyBorder="1" applyFont="1" applyNumberFormat="1"/>
    <xf borderId="5" fillId="0" fontId="5" numFmtId="3" xfId="0" applyBorder="1" applyFont="1" applyNumberFormat="1"/>
    <xf borderId="13" fillId="0" fontId="5" numFmtId="3" xfId="0" applyBorder="1" applyFont="1" applyNumberFormat="1"/>
    <xf borderId="10" fillId="9" fontId="16" numFmtId="0" xfId="0" applyAlignment="1" applyBorder="1" applyFill="1" applyFont="1">
      <alignment horizontal="center" readingOrder="0" shrinkToFit="0" vertical="center" wrapText="1"/>
    </xf>
    <xf borderId="1" fillId="9" fontId="5" numFmtId="3" xfId="0" applyBorder="1" applyFill="1" applyFont="1" applyNumberFormat="1"/>
    <xf borderId="5" fillId="9" fontId="5" numFmtId="3" xfId="0" applyBorder="1" applyFill="1" applyFont="1" applyNumberFormat="1"/>
    <xf borderId="13" fillId="0" fontId="16" numFmtId="3" xfId="0" applyBorder="1" applyFont="1" applyNumberFormat="1"/>
    <xf borderId="11" fillId="2" fontId="18" numFmtId="0" xfId="0" applyAlignment="1" applyBorder="1" applyFill="1" applyFont="1">
      <alignment horizontal="center" vertical="bottom"/>
    </xf>
    <xf borderId="12" fillId="2" fontId="18" numFmtId="0" xfId="0" applyAlignment="1" applyBorder="1" applyFill="1" applyFont="1">
      <alignment horizontal="center" vertical="bottom"/>
    </xf>
    <xf borderId="13" fillId="0" fontId="2" numFmtId="0" xfId="0" applyAlignment="1" applyBorder="1" applyFont="1">
      <alignment horizontal="center" vertical="bottom"/>
    </xf>
    <xf borderId="14" fillId="8" fontId="16" numFmtId="0" xfId="0" applyAlignment="1" applyBorder="1" applyFill="1" applyFont="1">
      <alignment horizontal="center" readingOrder="0" shrinkToFit="0" vertical="center" wrapText="1"/>
    </xf>
    <xf borderId="14" fillId="9" fontId="16" numFmtId="0" xfId="0" applyAlignment="1" applyBorder="1" applyFill="1" applyFont="1">
      <alignment horizontal="center" readingOrder="0" shrinkToFit="0" vertical="center" wrapText="1"/>
    </xf>
    <xf borderId="13" fillId="0" fontId="5" numFmtId="0" xfId="0" applyBorder="1" applyFont="1"/>
    <xf borderId="1" fillId="9" fontId="5" numFmtId="0" xfId="0" applyBorder="1" applyFill="1" applyFont="1"/>
    <xf borderId="5" fillId="9" fontId="5" numFmtId="0" xfId="0" applyBorder="1" applyFill="1" applyFont="1"/>
    <xf borderId="15" fillId="8" fontId="16" numFmtId="0" xfId="0" applyAlignment="1" applyBorder="1" applyFill="1" applyFont="1">
      <alignment horizontal="center" readingOrder="0" shrinkToFit="0" vertical="center" wrapText="1"/>
    </xf>
    <xf borderId="16" fillId="0" fontId="5" numFmtId="0" xfId="0" applyBorder="1" applyFont="1"/>
    <xf borderId="13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IMIS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IMIS!$C$2</c:f>
            </c:strRef>
          </c:tx>
          <c:spPr>
            <a:solidFill>
              <a:srgbClr val="66CC02"/>
            </a:solidFill>
            <a:ln cmpd="sng">
              <a:noFill/>
            </a:ln>
          </c:spPr>
          <c:dPt>
            <c:idx val="0"/>
            <c:spPr>
              <a:solidFill>
                <a:srgbClr val="66CC02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IMIS!$B$3:$B$5</c:f>
            </c:strRef>
          </c:cat>
          <c:val>
            <c:numRef>
              <c:f>IMIS!$C$3:$C$5</c:f>
              <c:numCache/>
            </c:numRef>
          </c:val>
        </c:ser>
        <c:ser>
          <c:idx val="1"/>
          <c:order val="1"/>
          <c:tx>
            <c:strRef>
              <c:f>IMIS!$D$2</c:f>
            </c:strRef>
          </c:tx>
          <c:spPr>
            <a:solidFill>
              <a:srgbClr val="4B286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IMIS!$B$3:$B$5</c:f>
            </c:strRef>
          </c:cat>
          <c:val>
            <c:numRef>
              <c:f>IMIS!$D$3:$D$5</c:f>
              <c:numCache/>
            </c:numRef>
          </c:val>
        </c:ser>
        <c:axId val="236857605"/>
        <c:axId val="1397981844"/>
      </c:barChart>
      <c:catAx>
        <c:axId val="236857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981844"/>
      </c:catAx>
      <c:valAx>
        <c:axId val="139798184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68576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IMIS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IMIS!$C$21</c:f>
            </c:strRef>
          </c:tx>
          <c:spPr>
            <a:solidFill>
              <a:srgbClr val="66CC00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IMIS!$B$22:$B$24</c:f>
            </c:strRef>
          </c:cat>
          <c:val>
            <c:numRef>
              <c:f>IMIS!$C$22:$C$24</c:f>
              <c:numCache/>
            </c:numRef>
          </c:val>
        </c:ser>
        <c:ser>
          <c:idx val="1"/>
          <c:order val="1"/>
          <c:tx>
            <c:strRef>
              <c:f>IMIS!$D$21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IMIS!$B$22:$B$24</c:f>
            </c:strRef>
          </c:cat>
          <c:val>
            <c:numRef>
              <c:f>IMIS!$D$22:$D$24</c:f>
              <c:numCache/>
            </c:numRef>
          </c:val>
        </c:ser>
        <c:axId val="1410053117"/>
        <c:axId val="1311879045"/>
      </c:barChart>
      <c:catAx>
        <c:axId val="1410053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1879045"/>
      </c:catAx>
      <c:valAx>
        <c:axId val="131187904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0531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IMIS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IMIS!$C$39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IMIS!$B$40:$B$42</c:f>
            </c:strRef>
          </c:cat>
          <c:val>
            <c:numRef>
              <c:f>IMIS!$C$40:$C$42</c:f>
              <c:numCache/>
            </c:numRef>
          </c:val>
        </c:ser>
        <c:ser>
          <c:idx val="1"/>
          <c:order val="1"/>
          <c:tx>
            <c:strRef>
              <c:f>IMIS!$D$39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IMIS!$B$40:$B$42</c:f>
            </c:strRef>
          </c:cat>
          <c:val>
            <c:numRef>
              <c:f>IMIS!$D$40:$D$42</c:f>
              <c:numCache/>
            </c:numRef>
          </c:val>
        </c:ser>
        <c:axId val="252153445"/>
        <c:axId val="1025990382"/>
      </c:barChart>
      <c:catAx>
        <c:axId val="252153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990382"/>
      </c:catAx>
      <c:valAx>
        <c:axId val="102599038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2153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IMIS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IMIS!$C$58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IMIS!$B$59:$B$61</c:f>
            </c:strRef>
          </c:cat>
          <c:val>
            <c:numRef>
              <c:f>IMIS!$C$59:$C$61</c:f>
              <c:numCache/>
            </c:numRef>
          </c:val>
        </c:ser>
        <c:ser>
          <c:idx val="1"/>
          <c:order val="1"/>
          <c:tx>
            <c:strRef>
              <c:f>IMIS!$D$58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IMIS!$B$59:$B$61</c:f>
            </c:strRef>
          </c:cat>
          <c:val>
            <c:numRef>
              <c:f>IMIS!$D$59:$D$61</c:f>
              <c:numCache/>
            </c:numRef>
          </c:val>
        </c:ser>
        <c:axId val="544699616"/>
        <c:axId val="662943168"/>
      </c:barChart>
      <c:catAx>
        <c:axId val="544699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943168"/>
      </c:catAx>
      <c:valAx>
        <c:axId val="66294316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46996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IMIS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IMIS!$C$86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IMIS!$C$87:$C$89</c:f>
              <c:numCache/>
            </c:numRef>
          </c:val>
        </c:ser>
        <c:ser>
          <c:idx val="1"/>
          <c:order val="1"/>
          <c:tx>
            <c:strRef>
              <c:f>IMIS!$D$86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IMIS!$D$87:$D$89</c:f>
              <c:numCache/>
            </c:numRef>
          </c:val>
        </c:ser>
        <c:axId val="1923408567"/>
        <c:axId val="905205412"/>
      </c:barChart>
      <c:catAx>
        <c:axId val="1923408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205412"/>
      </c:catAx>
      <c:valAx>
        <c:axId val="90520541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4085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AEM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AEM!$C$2</c:f>
            </c:strRef>
          </c:tx>
          <c:spPr>
            <a:solidFill>
              <a:srgbClr val="66CC02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AEM!$B$3:$B$5</c:f>
            </c:strRef>
          </c:cat>
          <c:val>
            <c:numRef>
              <c:f>AEM!$C$3:$C$5</c:f>
              <c:numCache/>
            </c:numRef>
          </c:val>
        </c:ser>
        <c:ser>
          <c:idx val="1"/>
          <c:order val="1"/>
          <c:tx>
            <c:strRef>
              <c:f>AEM!$D$2</c:f>
            </c:strRef>
          </c:tx>
          <c:spPr>
            <a:solidFill>
              <a:srgbClr val="4B286D"/>
            </a:solidFill>
            <a:ln cmpd="sng">
              <a:noFill/>
              <a:prstDash val="solid"/>
            </a:ln>
          </c:spPr>
          <c:dLbls>
            <c:numFmt formatCode="#,##0" sourceLinked="0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AEM!$B$3:$B$5</c:f>
            </c:strRef>
          </c:cat>
          <c:val>
            <c:numRef>
              <c:f>AEM!$D$3:$D$5</c:f>
              <c:numCache/>
            </c:numRef>
          </c:val>
        </c:ser>
        <c:axId val="83468459"/>
        <c:axId val="771181826"/>
      </c:barChart>
      <c:catAx>
        <c:axId val="83468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181826"/>
      </c:catAx>
      <c:valAx>
        <c:axId val="77118182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4684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AEM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AEM!$C$22</c:f>
            </c:strRef>
          </c:tx>
          <c:spPr>
            <a:solidFill>
              <a:srgbClr val="66CC00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AEM!$B$23:$B$25</c:f>
            </c:strRef>
          </c:cat>
          <c:val>
            <c:numRef>
              <c:f>AEM!$C$23:$C$25</c:f>
              <c:numCache/>
            </c:numRef>
          </c:val>
        </c:ser>
        <c:ser>
          <c:idx val="1"/>
          <c:order val="1"/>
          <c:tx>
            <c:strRef>
              <c:f>AEM!$D$22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AEM!$B$23:$B$25</c:f>
            </c:strRef>
          </c:cat>
          <c:val>
            <c:numRef>
              <c:f>AEM!$D$23:$D$25</c:f>
              <c:numCache/>
            </c:numRef>
          </c:val>
        </c:ser>
        <c:axId val="1199867239"/>
        <c:axId val="1077150484"/>
      </c:barChart>
      <c:catAx>
        <c:axId val="1199867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7150484"/>
      </c:catAx>
      <c:valAx>
        <c:axId val="107715048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8672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AEM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AEM!$C$39</c:f>
            </c:strRef>
          </c:tx>
          <c:spPr>
            <a:solidFill>
              <a:srgbClr val="66CC00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AEM!$B$40:$B$42</c:f>
            </c:strRef>
          </c:cat>
          <c:val>
            <c:numRef>
              <c:f>AEM!$C$40:$C$42</c:f>
              <c:numCache/>
            </c:numRef>
          </c:val>
        </c:ser>
        <c:ser>
          <c:idx val="1"/>
          <c:order val="1"/>
          <c:tx>
            <c:strRef>
              <c:f>AEM!$D$39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AEM!$B$40:$B$42</c:f>
            </c:strRef>
          </c:cat>
          <c:val>
            <c:numRef>
              <c:f>AEM!$D$40:$D$42</c:f>
              <c:numCache/>
            </c:numRef>
          </c:val>
        </c:ser>
        <c:axId val="805950746"/>
        <c:axId val="1105570218"/>
      </c:barChart>
      <c:catAx>
        <c:axId val="805950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570218"/>
      </c:catAx>
      <c:valAx>
        <c:axId val="110557021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950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AEM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AEM!$C$58</c:f>
            </c:strRef>
          </c:tx>
          <c:spPr>
            <a:solidFill>
              <a:srgbClr val="66CC00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AEM!$B$59:$B$61</c:f>
            </c:strRef>
          </c:cat>
          <c:val>
            <c:numRef>
              <c:f>AEM!$C$59:$C$61</c:f>
              <c:numCache/>
            </c:numRef>
          </c:val>
        </c:ser>
        <c:ser>
          <c:idx val="1"/>
          <c:order val="1"/>
          <c:tx>
            <c:strRef>
              <c:f>AEM!$D$58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AEM!$B$59:$B$61</c:f>
            </c:strRef>
          </c:cat>
          <c:val>
            <c:numRef>
              <c:f>AEM!$D$59:$D$61</c:f>
              <c:numCache/>
            </c:numRef>
          </c:val>
        </c:ser>
        <c:axId val="1988547745"/>
        <c:axId val="314534208"/>
      </c:barChart>
      <c:catAx>
        <c:axId val="1988547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534208"/>
      </c:catAx>
      <c:valAx>
        <c:axId val="31453420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547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AEM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AEM!$C$78</c:f>
            </c:strRef>
          </c:tx>
          <c:spPr>
            <a:solidFill>
              <a:srgbClr val="66CC00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AEM!$B$79:$B$81</c:f>
            </c:strRef>
          </c:cat>
          <c:val>
            <c:numRef>
              <c:f>AEM!$C$79:$C$81</c:f>
              <c:numCache/>
            </c:numRef>
          </c:val>
        </c:ser>
        <c:ser>
          <c:idx val="1"/>
          <c:order val="1"/>
          <c:tx>
            <c:strRef>
              <c:f>AEM!$D$78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AEM!$B$79:$B$81</c:f>
            </c:strRef>
          </c:cat>
          <c:val>
            <c:numRef>
              <c:f>AEM!$D$79:$D$81</c:f>
              <c:numCache/>
            </c:numRef>
          </c:val>
        </c:ser>
        <c:axId val="2071168307"/>
        <c:axId val="1560170364"/>
      </c:barChart>
      <c:catAx>
        <c:axId val="2071168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0170364"/>
      </c:catAx>
      <c:valAx>
        <c:axId val="156017036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11683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Misoteps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Misoteps!$C$2</c:f>
            </c:strRef>
          </c:tx>
          <c:spPr>
            <a:solidFill>
              <a:srgbClr val="66CC02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Misoteps!$B$3:$B$5</c:f>
            </c:strRef>
          </c:cat>
          <c:val>
            <c:numRef>
              <c:f>Misoteps!$C$3:$C$5</c:f>
              <c:numCache/>
            </c:numRef>
          </c:val>
        </c:ser>
        <c:ser>
          <c:idx val="1"/>
          <c:order val="1"/>
          <c:tx>
            <c:strRef>
              <c:f>Misoteps!$D$2</c:f>
            </c:strRef>
          </c:tx>
          <c:spPr>
            <a:solidFill>
              <a:srgbClr val="4B286D"/>
            </a:solidFill>
            <a:ln cmpd="sng">
              <a:noFill/>
              <a:prstDash val="solid"/>
            </a:ln>
          </c:spPr>
          <c:dLbls>
            <c:numFmt formatCode="#,##0" sourceLinked="0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Misoteps!$B$3:$B$5</c:f>
            </c:strRef>
          </c:cat>
          <c:val>
            <c:numRef>
              <c:f>Misoteps!$D$3:$D$5</c:f>
              <c:numCache/>
            </c:numRef>
          </c:val>
        </c:ser>
        <c:axId val="226616572"/>
        <c:axId val="1028995795"/>
      </c:barChart>
      <c:catAx>
        <c:axId val="226616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995795"/>
      </c:catAx>
      <c:valAx>
        <c:axId val="102899579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616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Misoteps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Misoteps!$C$21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Misoteps!$B$22:$B$24</c:f>
            </c:strRef>
          </c:cat>
          <c:val>
            <c:numRef>
              <c:f>Misoteps!$C$22:$C$24</c:f>
              <c:numCache/>
            </c:numRef>
          </c:val>
        </c:ser>
        <c:ser>
          <c:idx val="1"/>
          <c:order val="1"/>
          <c:tx>
            <c:strRef>
              <c:f>Misoteps!$D$21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Misoteps!$B$22:$B$24</c:f>
            </c:strRef>
          </c:cat>
          <c:val>
            <c:numRef>
              <c:f>Misoteps!$D$22:$D$24</c:f>
              <c:numCache/>
            </c:numRef>
          </c:val>
        </c:ser>
        <c:axId val="834036667"/>
        <c:axId val="582343339"/>
      </c:barChart>
      <c:catAx>
        <c:axId val="834036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343339"/>
      </c:catAx>
      <c:valAx>
        <c:axId val="58234333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40366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Misoteps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Misoteps!$C$39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Misoteps!$B$40:$B$42</c:f>
            </c:strRef>
          </c:cat>
          <c:val>
            <c:numRef>
              <c:f>Misoteps!$C$40:$C$42</c:f>
              <c:numCache/>
            </c:numRef>
          </c:val>
        </c:ser>
        <c:ser>
          <c:idx val="1"/>
          <c:order val="1"/>
          <c:tx>
            <c:strRef>
              <c:f>Misoteps!$D$39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Misoteps!$B$40:$B$42</c:f>
            </c:strRef>
          </c:cat>
          <c:val>
            <c:numRef>
              <c:f>Misoteps!$D$40:$D$42</c:f>
              <c:numCache/>
            </c:numRef>
          </c:val>
        </c:ser>
        <c:axId val="1728495345"/>
        <c:axId val="1423494241"/>
      </c:barChart>
      <c:catAx>
        <c:axId val="1728495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494241"/>
      </c:catAx>
      <c:valAx>
        <c:axId val="142349424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8495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Misoteps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Misoteps!$C$60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Misoteps!$B$61:$B$63</c:f>
            </c:strRef>
          </c:cat>
          <c:val>
            <c:numRef>
              <c:f>Misoteps!$C$61:$C$63</c:f>
              <c:numCache/>
            </c:numRef>
          </c:val>
        </c:ser>
        <c:ser>
          <c:idx val="1"/>
          <c:order val="1"/>
          <c:tx>
            <c:strRef>
              <c:f>Misoteps!$D$60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Misoteps!$B$61:$B$63</c:f>
            </c:strRef>
          </c:cat>
          <c:val>
            <c:numRef>
              <c:f>Misoteps!$D$61:$D$63</c:f>
              <c:numCache/>
            </c:numRef>
          </c:val>
        </c:ser>
        <c:axId val="2076665823"/>
        <c:axId val="1910531537"/>
      </c:barChart>
      <c:catAx>
        <c:axId val="2076665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531537"/>
      </c:catAx>
      <c:valAx>
        <c:axId val="191053153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66658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Misoteps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Misoteps!$C$89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Misoteps!$B$90:$B$92</c:f>
            </c:strRef>
          </c:cat>
          <c:val>
            <c:numRef>
              <c:f>Misoteps!$C$90:$C$92</c:f>
              <c:numCache/>
            </c:numRef>
          </c:val>
        </c:ser>
        <c:ser>
          <c:idx val="1"/>
          <c:order val="1"/>
          <c:tx>
            <c:strRef>
              <c:f>Misoteps!$D$89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Misoteps!$B$90:$B$92</c:f>
            </c:strRef>
          </c:cat>
          <c:val>
            <c:numRef>
              <c:f>Misoteps!$D$90:$D$92</c:f>
              <c:numCache/>
            </c:numRef>
          </c:val>
        </c:ser>
        <c:axId val="348113051"/>
        <c:axId val="1673727446"/>
      </c:barChart>
      <c:catAx>
        <c:axId val="348113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727446"/>
      </c:catAx>
      <c:valAx>
        <c:axId val="167372744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113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BOT Total Write Offs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Misoteps!$C$108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Misoteps!$B$109:$B$111</c:f>
            </c:strRef>
          </c:cat>
          <c:val>
            <c:numRef>
              <c:f>Misoteps!$C$109:$C$111</c:f>
              <c:numCache/>
            </c:numRef>
          </c:val>
        </c:ser>
        <c:ser>
          <c:idx val="1"/>
          <c:order val="1"/>
          <c:tx>
            <c:strRef>
              <c:f>Misoteps!$D$108</c:f>
            </c:strRef>
          </c:tx>
          <c:cat>
            <c:strRef>
              <c:f>Misoteps!$B$109:$B$111</c:f>
            </c:strRef>
          </c:cat>
          <c:val>
            <c:numRef>
              <c:f>Misoteps!$D$109:$D$111</c:f>
              <c:numCache/>
            </c:numRef>
          </c:val>
        </c:ser>
        <c:axId val="1642823935"/>
        <c:axId val="1871662049"/>
      </c:barChart>
      <c:catAx>
        <c:axId val="1642823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662049"/>
      </c:catAx>
      <c:valAx>
        <c:axId val="187166204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8239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Misoteps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Misoteps!$C$89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Misoteps!$B$90:$B$92</c:f>
            </c:strRef>
          </c:cat>
          <c:val>
            <c:numRef>
              <c:f>Misoteps!$C$90:$C$92</c:f>
              <c:numCache/>
            </c:numRef>
          </c:val>
        </c:ser>
        <c:ser>
          <c:idx val="1"/>
          <c:order val="1"/>
          <c:tx>
            <c:strRef>
              <c:f>Misoteps!$D$89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Misoteps!$B$90:$B$92</c:f>
            </c:strRef>
          </c:cat>
          <c:val>
            <c:numRef>
              <c:f>Misoteps!$D$90:$D$92</c:f>
              <c:numCache/>
            </c:numRef>
          </c:val>
        </c:ser>
        <c:axId val="1344916864"/>
        <c:axId val="1476012438"/>
      </c:barChart>
      <c:catAx>
        <c:axId val="1344916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012438"/>
      </c:catAx>
      <c:valAx>
        <c:axId val="147601243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916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Misoteps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'2026'!$B$8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'2026'!$A$9:$A$11</c:f>
            </c:strRef>
          </c:cat>
          <c:val>
            <c:numRef>
              <c:f>'2026'!$B$9:$B$11</c:f>
              <c:numCache/>
            </c:numRef>
          </c:val>
        </c:ser>
        <c:ser>
          <c:idx val="1"/>
          <c:order val="1"/>
          <c:tx>
            <c:strRef>
              <c:f>'2026'!$C$8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'2026'!$A$9:$A$11</c:f>
            </c:strRef>
          </c:cat>
          <c:val>
            <c:numRef>
              <c:f>'2026'!$C$9:$C$11</c:f>
              <c:numCache/>
            </c:numRef>
          </c:val>
        </c:ser>
        <c:axId val="754079388"/>
        <c:axId val="105476500"/>
      </c:barChart>
      <c:catAx>
        <c:axId val="754079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76500"/>
      </c:catAx>
      <c:valAx>
        <c:axId val="10547650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0793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Misoteps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'2026'!$B$18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'2026'!$A$19:$A$21</c:f>
            </c:strRef>
          </c:cat>
          <c:val>
            <c:numRef>
              <c:f>'2026'!$B$19:$B$21</c:f>
              <c:numCache/>
            </c:numRef>
          </c:val>
        </c:ser>
        <c:ser>
          <c:idx val="1"/>
          <c:order val="1"/>
          <c:tx>
            <c:strRef>
              <c:f>'2026'!$C$18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'2026'!$A$19:$A$21</c:f>
            </c:strRef>
          </c:cat>
          <c:val>
            <c:numRef>
              <c:f>'2026'!$C$19:$C$21</c:f>
              <c:numCache/>
            </c:numRef>
          </c:val>
        </c:ser>
        <c:axId val="625768715"/>
        <c:axId val="1666581509"/>
      </c:barChart>
      <c:catAx>
        <c:axId val="625768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581509"/>
      </c:catAx>
      <c:valAx>
        <c:axId val="166658150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768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Misoteps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'2026'!$B$13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'2026'!$A$14:$A$16</c:f>
            </c:strRef>
          </c:cat>
          <c:val>
            <c:numRef>
              <c:f>'2026'!$B$14:$B$16</c:f>
              <c:numCache/>
            </c:numRef>
          </c:val>
        </c:ser>
        <c:ser>
          <c:idx val="1"/>
          <c:order val="1"/>
          <c:tx>
            <c:strRef>
              <c:f>'2026'!$C$13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'2026'!$A$14:$A$16</c:f>
            </c:strRef>
          </c:cat>
          <c:val>
            <c:numRef>
              <c:f>'2026'!$C$14:$C$16</c:f>
              <c:numCache/>
            </c:numRef>
          </c:val>
        </c:ser>
        <c:axId val="1460965180"/>
        <c:axId val="1585757745"/>
      </c:barChart>
      <c:catAx>
        <c:axId val="1460965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757745"/>
      </c:catAx>
      <c:valAx>
        <c:axId val="158575774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965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IMIS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'2026'!$B$30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'2026'!$A$31:$A$33</c:f>
            </c:strRef>
          </c:cat>
          <c:val>
            <c:numRef>
              <c:f>'2026'!$B$31:$B$33</c:f>
              <c:numCache/>
            </c:numRef>
          </c:val>
        </c:ser>
        <c:ser>
          <c:idx val="1"/>
          <c:order val="1"/>
          <c:tx>
            <c:strRef>
              <c:f>'2026'!$C$30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'2026'!$A$31:$A$33</c:f>
            </c:strRef>
          </c:cat>
          <c:val>
            <c:numRef>
              <c:f>'2026'!$C$31:$C$33</c:f>
              <c:numCache/>
            </c:numRef>
          </c:val>
        </c:ser>
        <c:axId val="918515719"/>
        <c:axId val="1058941658"/>
      </c:barChart>
      <c:catAx>
        <c:axId val="918515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8941658"/>
      </c:catAx>
      <c:valAx>
        <c:axId val="105894165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85157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IMIS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'2026'!$B$35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'2026'!$A$36:$A$38</c:f>
            </c:strRef>
          </c:cat>
          <c:val>
            <c:numRef>
              <c:f>'2026'!$B$36:$B$38</c:f>
              <c:numCache/>
            </c:numRef>
          </c:val>
        </c:ser>
        <c:ser>
          <c:idx val="1"/>
          <c:order val="1"/>
          <c:tx>
            <c:strRef>
              <c:f>'2026'!$C$35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'2026'!$A$36:$A$38</c:f>
            </c:strRef>
          </c:cat>
          <c:val>
            <c:numRef>
              <c:f>'2026'!$C$36:$C$38</c:f>
              <c:numCache/>
            </c:numRef>
          </c:val>
        </c:ser>
        <c:axId val="462252061"/>
        <c:axId val="1211310304"/>
      </c:barChart>
      <c:catAx>
        <c:axId val="462252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310304"/>
      </c:catAx>
      <c:valAx>
        <c:axId val="121131030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252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IMIS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'2026'!$B$40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'2026'!$A$41:$A$43</c:f>
            </c:strRef>
          </c:cat>
          <c:val>
            <c:numRef>
              <c:f>'2026'!$B$41:$B$43</c:f>
              <c:numCache/>
            </c:numRef>
          </c:val>
        </c:ser>
        <c:ser>
          <c:idx val="1"/>
          <c:order val="1"/>
          <c:tx>
            <c:strRef>
              <c:f>'2026'!$C$40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'2026'!$A$41:$A$43</c:f>
            </c:strRef>
          </c:cat>
          <c:val>
            <c:numRef>
              <c:f>'2026'!$C$41:$C$43</c:f>
              <c:numCache/>
            </c:numRef>
          </c:val>
        </c:ser>
        <c:axId val="522335732"/>
        <c:axId val="1105277994"/>
      </c:barChart>
      <c:catAx>
        <c:axId val="522335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277994"/>
      </c:catAx>
      <c:valAx>
        <c:axId val="110527799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335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IMIS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'2026'!$B$45</c:f>
            </c:strRef>
          </c:tx>
          <c:spPr>
            <a:solidFill>
              <a:srgbClr val="66CC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'2026'!$A$46:$A$48</c:f>
            </c:strRef>
          </c:cat>
          <c:val>
            <c:numRef>
              <c:f>'2026'!$B$46:$B$48</c:f>
              <c:numCache/>
            </c:numRef>
          </c:val>
        </c:ser>
        <c:ser>
          <c:idx val="1"/>
          <c:order val="1"/>
          <c:tx>
            <c:strRef>
              <c:f>'2026'!$C$45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'2026'!$A$46:$A$48</c:f>
            </c:strRef>
          </c:cat>
          <c:val>
            <c:numRef>
              <c:f>'2026'!$C$46:$C$48</c:f>
              <c:numCache/>
            </c:numRef>
          </c:val>
        </c:ser>
        <c:axId val="525530571"/>
        <c:axId val="1806511518"/>
      </c:barChart>
      <c:catAx>
        <c:axId val="525530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6511518"/>
      </c:catAx>
      <c:valAx>
        <c:axId val="180651151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5530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AEM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'2026'!$B$58</c:f>
            </c:strRef>
          </c:tx>
          <c:spPr>
            <a:solidFill>
              <a:srgbClr val="66CC00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'2026'!$A$59:$A$61</c:f>
            </c:strRef>
          </c:cat>
          <c:val>
            <c:numRef>
              <c:f>'2026'!$B$59:$B$61</c:f>
              <c:numCache/>
            </c:numRef>
          </c:val>
        </c:ser>
        <c:ser>
          <c:idx val="1"/>
          <c:order val="1"/>
          <c:tx>
            <c:strRef>
              <c:f>'2026'!$C$58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'2026'!$A$59:$A$61</c:f>
            </c:strRef>
          </c:cat>
          <c:val>
            <c:numRef>
              <c:f>'2026'!$C$59:$C$61</c:f>
              <c:numCache/>
            </c:numRef>
          </c:val>
        </c:ser>
        <c:axId val="122952127"/>
        <c:axId val="123729954"/>
      </c:barChart>
      <c:catAx>
        <c:axId val="1229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29954"/>
      </c:catAx>
      <c:valAx>
        <c:axId val="12372995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952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AEM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'2026'!$B$63</c:f>
            </c:strRef>
          </c:tx>
          <c:spPr>
            <a:solidFill>
              <a:srgbClr val="66CC00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'2026'!$A$64:$A$66</c:f>
            </c:strRef>
          </c:cat>
          <c:val>
            <c:numRef>
              <c:f>'2026'!$B$64:$B$66</c:f>
              <c:numCache/>
            </c:numRef>
          </c:val>
        </c:ser>
        <c:ser>
          <c:idx val="1"/>
          <c:order val="1"/>
          <c:tx>
            <c:strRef>
              <c:f>'2026'!$C$63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'2026'!$A$64:$A$66</c:f>
            </c:strRef>
          </c:cat>
          <c:val>
            <c:numRef>
              <c:f>'2026'!$C$64:$C$66</c:f>
              <c:numCache/>
            </c:numRef>
          </c:val>
        </c:ser>
        <c:axId val="1611039660"/>
        <c:axId val="1186559469"/>
      </c:barChart>
      <c:catAx>
        <c:axId val="1611039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559469"/>
      </c:catAx>
      <c:valAx>
        <c:axId val="118655946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0396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AEM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'2026'!$B$68</c:f>
            </c:strRef>
          </c:tx>
          <c:spPr>
            <a:solidFill>
              <a:srgbClr val="66CC00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'2026'!$A$69:$A$71</c:f>
            </c:strRef>
          </c:cat>
          <c:val>
            <c:numRef>
              <c:f>'2026'!$B$69:$B$71</c:f>
              <c:numCache/>
            </c:numRef>
          </c:val>
        </c:ser>
        <c:ser>
          <c:idx val="1"/>
          <c:order val="1"/>
          <c:tx>
            <c:strRef>
              <c:f>'2026'!$C$68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'2026'!$A$69:$A$71</c:f>
            </c:strRef>
          </c:cat>
          <c:val>
            <c:numRef>
              <c:f>'2026'!$C$69:$C$71</c:f>
              <c:numCache/>
            </c:numRef>
          </c:val>
        </c:ser>
        <c:axId val="120675848"/>
        <c:axId val="740177026"/>
      </c:barChart>
      <c:catAx>
        <c:axId val="120675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177026"/>
      </c:catAx>
      <c:valAx>
        <c:axId val="74017702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75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AEM Worked vs Received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'2026'!$B$73</c:f>
            </c:strRef>
          </c:tx>
          <c:spPr>
            <a:solidFill>
              <a:srgbClr val="66CC00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'2026'!$A$74:$A$76</c:f>
            </c:strRef>
          </c:cat>
          <c:val>
            <c:numRef>
              <c:f>'2026'!$B$74:$B$76</c:f>
              <c:numCache/>
            </c:numRef>
          </c:val>
        </c:ser>
        <c:ser>
          <c:idx val="1"/>
          <c:order val="1"/>
          <c:tx>
            <c:strRef>
              <c:f>'2026'!$C$73</c:f>
            </c:strRef>
          </c:tx>
          <c:spPr>
            <a:solidFill>
              <a:srgbClr val="49166D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'2026'!$A$74:$A$76</c:f>
            </c:strRef>
          </c:cat>
          <c:val>
            <c:numRef>
              <c:f>'2026'!$C$74:$C$76</c:f>
              <c:numCache/>
            </c:numRef>
          </c:val>
        </c:ser>
        <c:axId val="1171725323"/>
        <c:axId val="1752039947"/>
      </c:barChart>
      <c:catAx>
        <c:axId val="1171725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039947"/>
      </c:catAx>
      <c:valAx>
        <c:axId val="175203994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725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Relationship Id="rId6" Type="http://schemas.openxmlformats.org/officeDocument/2006/relationships/chart" Target="../charts/char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11" Type="http://schemas.openxmlformats.org/officeDocument/2006/relationships/chart" Target="../charts/chart27.xml"/><Relationship Id="rId10" Type="http://schemas.openxmlformats.org/officeDocument/2006/relationships/chart" Target="../charts/chart26.xml"/><Relationship Id="rId12" Type="http://schemas.openxmlformats.org/officeDocument/2006/relationships/chart" Target="../charts/chart28.xml"/><Relationship Id="rId9" Type="http://schemas.openxmlformats.org/officeDocument/2006/relationships/chart" Target="../charts/chart25.xml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847725</xdr:colOff>
      <xdr:row>0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885825</xdr:colOff>
      <xdr:row>18</xdr:row>
      <xdr:rowOff>76200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847725</xdr:colOff>
      <xdr:row>36</xdr:row>
      <xdr:rowOff>161925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952500</xdr:colOff>
      <xdr:row>56</xdr:row>
      <xdr:rowOff>171450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57150</xdr:colOff>
      <xdr:row>84</xdr:row>
      <xdr:rowOff>190500</xdr:rowOff>
    </xdr:from>
    <xdr:ext cx="57150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742950</xdr:colOff>
      <xdr:row>0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695325</xdr:colOff>
      <xdr:row>18</xdr:row>
      <xdr:rowOff>190500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695325</xdr:colOff>
      <xdr:row>37</xdr:row>
      <xdr:rowOff>66675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695325</xdr:colOff>
      <xdr:row>57</xdr:row>
      <xdr:rowOff>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695325</xdr:colOff>
      <xdr:row>76</xdr:row>
      <xdr:rowOff>200025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314325</xdr:colOff>
      <xdr:row>0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47625</xdr:colOff>
      <xdr:row>18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152400</xdr:colOff>
      <xdr:row>37</xdr:row>
      <xdr:rowOff>152400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152400</xdr:colOff>
      <xdr:row>59</xdr:row>
      <xdr:rowOff>152400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152400</xdr:colOff>
      <xdr:row>88</xdr:row>
      <xdr:rowOff>152400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152400</xdr:colOff>
      <xdr:row>108</xdr:row>
      <xdr:rowOff>152400</xdr:rowOff>
    </xdr:from>
    <xdr:ext cx="571500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0</xdr:row>
      <xdr:rowOff>19050</xdr:rowOff>
    </xdr:from>
    <xdr:ext cx="4305300" cy="2647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771525</xdr:colOff>
      <xdr:row>0</xdr:row>
      <xdr:rowOff>19050</xdr:rowOff>
    </xdr:from>
    <xdr:ext cx="4305300" cy="26479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771525</xdr:colOff>
      <xdr:row>12</xdr:row>
      <xdr:rowOff>152400</xdr:rowOff>
    </xdr:from>
    <xdr:ext cx="4305300" cy="26479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209550</xdr:colOff>
      <xdr:row>12</xdr:row>
      <xdr:rowOff>152400</xdr:rowOff>
    </xdr:from>
    <xdr:ext cx="4305300" cy="26479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209550</xdr:colOff>
      <xdr:row>28</xdr:row>
      <xdr:rowOff>0</xdr:rowOff>
    </xdr:from>
    <xdr:ext cx="4305300" cy="26479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771525</xdr:colOff>
      <xdr:row>28</xdr:row>
      <xdr:rowOff>0</xdr:rowOff>
    </xdr:from>
    <xdr:ext cx="4257675" cy="264795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209550</xdr:colOff>
      <xdr:row>40</xdr:row>
      <xdr:rowOff>95250</xdr:rowOff>
    </xdr:from>
    <xdr:ext cx="4305300" cy="264795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771525</xdr:colOff>
      <xdr:row>40</xdr:row>
      <xdr:rowOff>95250</xdr:rowOff>
    </xdr:from>
    <xdr:ext cx="4305300" cy="264795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</xdr:col>
      <xdr:colOff>209550</xdr:colOff>
      <xdr:row>55</xdr:row>
      <xdr:rowOff>180975</xdr:rowOff>
    </xdr:from>
    <xdr:ext cx="4305300" cy="264795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771525</xdr:colOff>
      <xdr:row>55</xdr:row>
      <xdr:rowOff>180975</xdr:rowOff>
    </xdr:from>
    <xdr:ext cx="4305300" cy="264795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209550</xdr:colOff>
      <xdr:row>68</xdr:row>
      <xdr:rowOff>66675</xdr:rowOff>
    </xdr:from>
    <xdr:ext cx="4305300" cy="26479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</xdr:col>
      <xdr:colOff>771525</xdr:colOff>
      <xdr:row>68</xdr:row>
      <xdr:rowOff>66675</xdr:rowOff>
    </xdr:from>
    <xdr:ext cx="4305300" cy="264795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/>
      <c r="C2" s="2" t="s">
        <v>0</v>
      </c>
      <c r="D2" s="3" t="s">
        <v>1</v>
      </c>
    </row>
    <row r="3">
      <c r="B3" s="6">
        <v>2023.0</v>
      </c>
      <c r="C3" s="7">
        <v>231735.0</v>
      </c>
      <c r="D3" s="7">
        <v>232948.0</v>
      </c>
    </row>
    <row r="4">
      <c r="B4" s="6">
        <v>2024.0</v>
      </c>
      <c r="C4" s="7">
        <v>210289.0</v>
      </c>
      <c r="D4" s="7">
        <v>208899.0</v>
      </c>
      <c r="L4" s="8"/>
    </row>
    <row r="5">
      <c r="B5" s="9">
        <v>2025.0</v>
      </c>
      <c r="C5" s="7">
        <v>554032.0</v>
      </c>
      <c r="D5" s="7">
        <v>553867.0</v>
      </c>
    </row>
    <row r="8">
      <c r="B8" s="4">
        <v>2022.0</v>
      </c>
      <c r="C8" s="5">
        <v>357614.0</v>
      </c>
      <c r="D8" s="5">
        <v>359412.0</v>
      </c>
    </row>
    <row r="13">
      <c r="B13" s="6">
        <v>2023.0</v>
      </c>
      <c r="C13" s="7">
        <v>231735.0</v>
      </c>
      <c r="D13" s="7">
        <v>232948.0</v>
      </c>
    </row>
    <row r="14">
      <c r="B14" s="6">
        <v>2024.0</v>
      </c>
      <c r="C14" s="7">
        <v>210289.0</v>
      </c>
      <c r="D14" s="7">
        <v>208899.0</v>
      </c>
    </row>
    <row r="15">
      <c r="B15" s="9">
        <v>2025.0</v>
      </c>
      <c r="C15" s="7">
        <v>554032.0</v>
      </c>
      <c r="D15" s="7">
        <v>553867.0</v>
      </c>
    </row>
    <row r="21">
      <c r="B21" s="15"/>
      <c r="C21" s="16" t="s">
        <v>0</v>
      </c>
      <c r="D21" s="16" t="s">
        <v>1</v>
      </c>
    </row>
    <row r="22">
      <c r="B22" s="4" t="s">
        <v>2</v>
      </c>
      <c r="C22" s="17">
        <v>18123.0</v>
      </c>
      <c r="D22" s="17">
        <v>18283.0</v>
      </c>
    </row>
    <row r="23">
      <c r="B23" s="4" t="s">
        <v>3</v>
      </c>
      <c r="C23" s="17">
        <v>13599.0</v>
      </c>
      <c r="D23" s="17">
        <v>13759.0</v>
      </c>
    </row>
    <row r="24">
      <c r="B24" s="4" t="s">
        <v>4</v>
      </c>
      <c r="C24" s="17">
        <v>12270.0</v>
      </c>
      <c r="D24" s="17">
        <v>12430.0</v>
      </c>
    </row>
    <row r="26">
      <c r="C26" s="18">
        <f>SUM(C22:C24)</f>
        <v>43992</v>
      </c>
      <c r="D26" s="18">
        <v>43992.0</v>
      </c>
    </row>
    <row r="39">
      <c r="B39" s="15"/>
      <c r="C39" s="16" t="s">
        <v>0</v>
      </c>
      <c r="D39" s="16" t="s">
        <v>1</v>
      </c>
    </row>
    <row r="40">
      <c r="B40" s="4" t="s">
        <v>5</v>
      </c>
      <c r="C40" s="17">
        <v>17673.0</v>
      </c>
      <c r="D40" s="17">
        <v>17513.0</v>
      </c>
    </row>
    <row r="41">
      <c r="B41" s="4" t="s">
        <v>6</v>
      </c>
      <c r="C41" s="17">
        <v>36130.0</v>
      </c>
      <c r="D41" s="17">
        <v>36131.0</v>
      </c>
    </row>
    <row r="42">
      <c r="B42" s="4" t="s">
        <v>7</v>
      </c>
      <c r="C42" s="17">
        <v>25517.0</v>
      </c>
      <c r="D42" s="17">
        <v>25514.0</v>
      </c>
    </row>
    <row r="44">
      <c r="C44" s="18">
        <f t="shared" ref="C44:D44" si="1">SUM(C40:C42)</f>
        <v>79320</v>
      </c>
      <c r="D44" s="18">
        <f t="shared" si="1"/>
        <v>79158</v>
      </c>
    </row>
    <row r="58">
      <c r="B58" s="15"/>
      <c r="C58" s="16" t="s">
        <v>0</v>
      </c>
      <c r="D58" s="16" t="s">
        <v>1</v>
      </c>
    </row>
    <row r="59">
      <c r="B59" s="4" t="s">
        <v>8</v>
      </c>
      <c r="C59" s="17">
        <v>60632.0</v>
      </c>
      <c r="D59" s="17">
        <v>60632.0</v>
      </c>
    </row>
    <row r="60">
      <c r="B60" s="4" t="s">
        <v>9</v>
      </c>
      <c r="C60" s="17">
        <v>71167.0</v>
      </c>
      <c r="D60" s="17">
        <v>71164.0</v>
      </c>
    </row>
    <row r="61">
      <c r="B61" s="4" t="s">
        <v>10</v>
      </c>
      <c r="C61" s="17">
        <v>61661.0</v>
      </c>
      <c r="D61" s="17">
        <v>61661.0</v>
      </c>
    </row>
    <row r="63">
      <c r="C63" s="18">
        <f t="shared" ref="C63:D63" si="2">SUM(C59:C61)</f>
        <v>193460</v>
      </c>
      <c r="D63" s="18">
        <f t="shared" si="2"/>
        <v>193457</v>
      </c>
    </row>
    <row r="77">
      <c r="B77" s="15"/>
      <c r="C77" s="16" t="s">
        <v>0</v>
      </c>
      <c r="D77" s="16" t="s">
        <v>1</v>
      </c>
    </row>
    <row r="78">
      <c r="B78" s="4" t="s">
        <v>11</v>
      </c>
      <c r="C78" s="25">
        <v>86720.0</v>
      </c>
      <c r="D78" s="17">
        <v>86720.0</v>
      </c>
    </row>
    <row r="79">
      <c r="B79" s="4" t="s">
        <v>12</v>
      </c>
      <c r="C79" s="17">
        <v>71086.0</v>
      </c>
      <c r="D79" s="17">
        <v>71086.0</v>
      </c>
    </row>
    <row r="80">
      <c r="B80" s="4" t="s">
        <v>13</v>
      </c>
      <c r="C80" s="17">
        <v>79454.0</v>
      </c>
      <c r="D80" s="17">
        <v>79454.0</v>
      </c>
    </row>
    <row r="82">
      <c r="C82" s="18">
        <f t="shared" ref="C82:D82" si="3">SUM(C78:C80)</f>
        <v>237260</v>
      </c>
      <c r="D82" s="18">
        <f t="shared" si="3"/>
        <v>237260</v>
      </c>
    </row>
    <row r="84">
      <c r="A84" s="26">
        <v>2026.0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6">
      <c r="B86" s="33"/>
      <c r="C86" s="34" t="s">
        <v>0</v>
      </c>
      <c r="D86" s="34" t="s">
        <v>1</v>
      </c>
    </row>
    <row r="87">
      <c r="B87" s="32" t="s">
        <v>2</v>
      </c>
      <c r="C87" s="35">
        <v>65195.0</v>
      </c>
      <c r="D87" s="36">
        <v>65203.0</v>
      </c>
    </row>
    <row r="88">
      <c r="B88" s="32" t="s">
        <v>3</v>
      </c>
      <c r="C88" s="36">
        <v>63393.0</v>
      </c>
      <c r="D88" s="36">
        <v>63393.0</v>
      </c>
    </row>
    <row r="89">
      <c r="B89" s="32" t="s">
        <v>4</v>
      </c>
      <c r="C89" s="36">
        <v>71454.0</v>
      </c>
      <c r="D89" s="36">
        <v>71463.0</v>
      </c>
    </row>
    <row r="91">
      <c r="C91" s="18">
        <f t="shared" ref="C91:D91" si="4">SUM(C87:C89)</f>
        <v>200042</v>
      </c>
      <c r="D91" s="18">
        <f t="shared" si="4"/>
        <v>200059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/>
      <c r="C2" s="2" t="s">
        <v>0</v>
      </c>
      <c r="D2" s="3" t="s">
        <v>1</v>
      </c>
    </row>
    <row r="3">
      <c r="B3" s="4">
        <v>2023.0</v>
      </c>
      <c r="C3" s="5">
        <v>4.4534448E7</v>
      </c>
      <c r="D3" s="5">
        <v>4.2466979E7</v>
      </c>
    </row>
    <row r="4">
      <c r="B4" s="6">
        <v>2024.0</v>
      </c>
      <c r="C4" s="5">
        <v>4.1987574E7</v>
      </c>
      <c r="D4" s="7">
        <v>3.5630039E7</v>
      </c>
      <c r="L4" s="8"/>
    </row>
    <row r="5">
      <c r="B5" s="6">
        <v>2025.0</v>
      </c>
      <c r="C5" s="5">
        <v>4.5586017E7</v>
      </c>
      <c r="D5" s="5">
        <v>3.5716493E7</v>
      </c>
    </row>
    <row r="6">
      <c r="B6" s="4">
        <v>2022.0</v>
      </c>
      <c r="C6" s="5">
        <v>3.8421455E7</v>
      </c>
      <c r="D6" s="5">
        <v>3.7251655E7</v>
      </c>
    </row>
    <row r="9">
      <c r="B9" s="4">
        <v>2023.0</v>
      </c>
      <c r="C9" s="5">
        <v>4.4534448E7</v>
      </c>
      <c r="D9" s="5">
        <v>4.2466979E7</v>
      </c>
    </row>
    <row r="10">
      <c r="B10" s="6">
        <v>2024.0</v>
      </c>
      <c r="C10" s="5">
        <v>4.1987574E7</v>
      </c>
      <c r="D10" s="7">
        <v>3.5630039E7</v>
      </c>
    </row>
    <row r="11">
      <c r="B11" s="6">
        <v>2025.0</v>
      </c>
      <c r="C11" s="5">
        <v>4.5586017E7</v>
      </c>
      <c r="D11" s="5">
        <v>3.5716493E7</v>
      </c>
    </row>
    <row r="21">
      <c r="D21" s="10">
        <v>2025.0</v>
      </c>
    </row>
    <row r="22">
      <c r="B22" s="1"/>
      <c r="C22" s="11" t="s">
        <v>0</v>
      </c>
      <c r="D22" s="12" t="s">
        <v>1</v>
      </c>
    </row>
    <row r="23">
      <c r="B23" s="6" t="s">
        <v>2</v>
      </c>
      <c r="C23" s="13">
        <v>3291174.0</v>
      </c>
      <c r="D23" s="13">
        <v>2643262.0</v>
      </c>
    </row>
    <row r="24">
      <c r="B24" s="4" t="s">
        <v>3</v>
      </c>
      <c r="C24" s="14">
        <v>3441316.0</v>
      </c>
      <c r="D24" s="14">
        <v>2758836.0</v>
      </c>
    </row>
    <row r="25">
      <c r="B25" s="4" t="s">
        <v>4</v>
      </c>
      <c r="C25" s="14">
        <v>3740054.0</v>
      </c>
      <c r="D25" s="14">
        <v>3092192.0</v>
      </c>
    </row>
    <row r="26">
      <c r="C26" s="18">
        <f>SUM(C23:C25)</f>
        <v>10472544</v>
      </c>
      <c r="D26" s="18">
        <f>sum(D23:D25)</f>
        <v>8494290</v>
      </c>
    </row>
    <row r="39">
      <c r="B39" s="1"/>
      <c r="C39" s="11" t="s">
        <v>0</v>
      </c>
      <c r="D39" s="12" t="s">
        <v>1</v>
      </c>
    </row>
    <row r="40">
      <c r="B40" s="6" t="s">
        <v>5</v>
      </c>
      <c r="C40" s="13">
        <v>4253086.0</v>
      </c>
      <c r="D40" s="13">
        <v>3477365.0</v>
      </c>
    </row>
    <row r="41">
      <c r="B41" s="4" t="s">
        <v>6</v>
      </c>
      <c r="C41" s="14">
        <v>3450952.0</v>
      </c>
      <c r="D41" s="14">
        <v>2571681.0</v>
      </c>
    </row>
    <row r="42">
      <c r="B42" s="4" t="s">
        <v>7</v>
      </c>
      <c r="C42" s="21">
        <v>3704834.0</v>
      </c>
      <c r="D42" s="14">
        <v>2813907.0</v>
      </c>
    </row>
    <row r="44">
      <c r="C44" s="18">
        <f>SUM(C40:C42)</f>
        <v>11408872</v>
      </c>
      <c r="D44" s="18">
        <f>sum(D40:D42)</f>
        <v>8862953</v>
      </c>
    </row>
    <row r="58">
      <c r="B58" s="1"/>
      <c r="C58" s="11" t="s">
        <v>0</v>
      </c>
      <c r="D58" s="12" t="s">
        <v>1</v>
      </c>
    </row>
    <row r="59">
      <c r="B59" s="6" t="s">
        <v>8</v>
      </c>
      <c r="C59" s="13">
        <v>3857308.0</v>
      </c>
      <c r="D59" s="13">
        <v>3084676.0</v>
      </c>
    </row>
    <row r="60">
      <c r="B60" s="6" t="s">
        <v>9</v>
      </c>
      <c r="C60" s="14">
        <v>3820219.0</v>
      </c>
      <c r="D60" s="14">
        <v>3015527.0</v>
      </c>
    </row>
    <row r="61">
      <c r="B61" s="6" t="s">
        <v>10</v>
      </c>
      <c r="C61" s="21">
        <v>4066209.0</v>
      </c>
      <c r="D61" s="14">
        <v>3197191.0</v>
      </c>
    </row>
    <row r="63">
      <c r="C63" s="18">
        <f>SUM(C59:C61)</f>
        <v>11743736</v>
      </c>
      <c r="D63" s="18">
        <f>sum(D59:D61)</f>
        <v>9297394</v>
      </c>
    </row>
    <row r="68">
      <c r="B68" s="1"/>
      <c r="C68" s="11" t="s">
        <v>0</v>
      </c>
      <c r="D68" s="12" t="s">
        <v>1</v>
      </c>
    </row>
    <row r="69">
      <c r="B69" s="6" t="s">
        <v>11</v>
      </c>
      <c r="C69" s="13">
        <v>4044015.0</v>
      </c>
      <c r="D69" s="13">
        <v>3178605.0</v>
      </c>
    </row>
    <row r="70">
      <c r="B70" s="6" t="s">
        <v>12</v>
      </c>
      <c r="C70" s="14">
        <v>4287132.0</v>
      </c>
      <c r="D70" s="14">
        <v>3281998.0</v>
      </c>
    </row>
    <row r="71">
      <c r="B71" s="6" t="s">
        <v>13</v>
      </c>
      <c r="C71" s="21">
        <v>3629718.0</v>
      </c>
      <c r="D71" s="14">
        <v>2601253.0</v>
      </c>
    </row>
    <row r="73">
      <c r="C73" s="18">
        <f t="shared" ref="C73:D73" si="1">SUM(C69:C71)</f>
        <v>11960865</v>
      </c>
      <c r="D73" s="18">
        <f t="shared" si="1"/>
        <v>9061856</v>
      </c>
    </row>
    <row r="76">
      <c r="A76" s="26">
        <v>2026.0</v>
      </c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8">
      <c r="B78" s="1"/>
      <c r="C78" s="29" t="s">
        <v>0</v>
      </c>
      <c r="D78" s="31" t="s">
        <v>1</v>
      </c>
    </row>
    <row r="79">
      <c r="B79" s="32" t="s">
        <v>2</v>
      </c>
      <c r="C79" s="13">
        <v>3306508.0</v>
      </c>
      <c r="D79" s="13">
        <v>2643262.0</v>
      </c>
    </row>
    <row r="80">
      <c r="B80" s="32" t="s">
        <v>3</v>
      </c>
      <c r="C80" s="14">
        <v>3511748.0</v>
      </c>
      <c r="D80" s="14">
        <v>2791290.0</v>
      </c>
    </row>
    <row r="81">
      <c r="B81" s="32" t="s">
        <v>4</v>
      </c>
      <c r="C81" s="21">
        <v>3457411.0</v>
      </c>
      <c r="D81" s="14">
        <v>2815726.0</v>
      </c>
    </row>
    <row r="83">
      <c r="C83" s="18">
        <f t="shared" ref="C83:D83" si="2">SUM(C79:C81)</f>
        <v>10275667</v>
      </c>
      <c r="D83" s="18">
        <f t="shared" si="2"/>
        <v>8250278</v>
      </c>
    </row>
    <row r="87">
      <c r="D87" s="18">
        <v>8250278.0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/>
      <c r="C2" s="2" t="s">
        <v>0</v>
      </c>
      <c r="D2" s="3" t="s">
        <v>1</v>
      </c>
    </row>
    <row r="3">
      <c r="B3" s="4">
        <v>2023.0</v>
      </c>
      <c r="C3" s="19">
        <v>1561399.0</v>
      </c>
      <c r="D3" s="19">
        <v>1505273.0</v>
      </c>
    </row>
    <row r="4">
      <c r="B4" s="6">
        <v>2024.0</v>
      </c>
      <c r="C4" s="19">
        <v>1325603.0</v>
      </c>
      <c r="D4" s="20">
        <v>1238962.0</v>
      </c>
      <c r="L4" s="8"/>
    </row>
    <row r="5">
      <c r="B5" s="6">
        <v>2025.0</v>
      </c>
      <c r="C5" s="19">
        <v>1751372.0</v>
      </c>
      <c r="D5" s="19">
        <v>3690747.0</v>
      </c>
    </row>
    <row r="6">
      <c r="B6" s="4">
        <v>2022.0</v>
      </c>
      <c r="C6" s="19">
        <v>1659574.0</v>
      </c>
      <c r="D6" s="19">
        <v>1704622.0</v>
      </c>
    </row>
    <row r="8">
      <c r="B8" s="4">
        <v>2023.0</v>
      </c>
      <c r="C8" s="19">
        <v>1561399.0</v>
      </c>
      <c r="D8" s="19">
        <v>1505273.0</v>
      </c>
    </row>
    <row r="9">
      <c r="B9" s="6">
        <v>2024.0</v>
      </c>
      <c r="C9" s="19">
        <v>1325603.0</v>
      </c>
      <c r="D9" s="20">
        <v>1238962.0</v>
      </c>
    </row>
    <row r="10">
      <c r="B10" s="6">
        <v>2025.0</v>
      </c>
      <c r="C10" s="19">
        <v>1751372.0</v>
      </c>
      <c r="D10" s="19">
        <v>3690747.0</v>
      </c>
    </row>
    <row r="20">
      <c r="C20" s="10">
        <v>2025.0</v>
      </c>
    </row>
    <row r="21">
      <c r="B21" s="1"/>
      <c r="C21" s="22" t="s">
        <v>0</v>
      </c>
      <c r="D21" s="23" t="s">
        <v>1</v>
      </c>
    </row>
    <row r="22">
      <c r="B22" s="6" t="s">
        <v>2</v>
      </c>
      <c r="C22" s="19">
        <v>71645.0</v>
      </c>
      <c r="D22" s="19">
        <v>57851.0</v>
      </c>
    </row>
    <row r="23">
      <c r="B23" s="4" t="s">
        <v>3</v>
      </c>
      <c r="C23" s="19">
        <v>68201.0</v>
      </c>
      <c r="D23" s="19">
        <v>129513.0</v>
      </c>
    </row>
    <row r="24">
      <c r="B24" s="4" t="s">
        <v>4</v>
      </c>
      <c r="C24" s="19">
        <v>61039.0</v>
      </c>
      <c r="D24" s="14">
        <v>111029.0</v>
      </c>
    </row>
    <row r="26">
      <c r="C26" s="18">
        <f>SUM(C22:C24)</f>
        <v>200885</v>
      </c>
      <c r="D26" s="24">
        <f>SUM(D21:D24)</f>
        <v>298393</v>
      </c>
    </row>
    <row r="39">
      <c r="B39" s="1"/>
      <c r="C39" s="22" t="s">
        <v>0</v>
      </c>
      <c r="D39" s="23" t="s">
        <v>1</v>
      </c>
    </row>
    <row r="40">
      <c r="B40" s="6" t="s">
        <v>5</v>
      </c>
      <c r="C40" s="28">
        <v>56508.0</v>
      </c>
      <c r="D40" s="19">
        <v>94254.0</v>
      </c>
    </row>
    <row r="41">
      <c r="B41" s="4" t="s">
        <v>6</v>
      </c>
      <c r="C41" s="30">
        <v>114033.0</v>
      </c>
      <c r="D41" s="19">
        <v>91958.0</v>
      </c>
    </row>
    <row r="42">
      <c r="B42" s="4" t="s">
        <v>7</v>
      </c>
      <c r="C42" s="30">
        <v>140583.0</v>
      </c>
      <c r="D42" s="14">
        <v>212553.0</v>
      </c>
    </row>
    <row r="44">
      <c r="C44" s="18">
        <f t="shared" ref="C44:D44" si="1">SUM(C40:C42)</f>
        <v>311124</v>
      </c>
      <c r="D44" s="18">
        <f t="shared" si="1"/>
        <v>398765</v>
      </c>
    </row>
    <row r="60">
      <c r="B60" s="1"/>
      <c r="C60" s="22" t="s">
        <v>0</v>
      </c>
      <c r="D60" s="23" t="s">
        <v>1</v>
      </c>
    </row>
    <row r="61">
      <c r="B61" s="6" t="s">
        <v>8</v>
      </c>
      <c r="C61" s="28">
        <v>153412.0</v>
      </c>
      <c r="D61" s="19">
        <v>336289.0</v>
      </c>
    </row>
    <row r="62">
      <c r="B62" s="6" t="s">
        <v>9</v>
      </c>
      <c r="C62" s="30">
        <v>183209.0</v>
      </c>
      <c r="D62" s="19">
        <v>418197.0</v>
      </c>
    </row>
    <row r="63">
      <c r="B63" s="6" t="s">
        <v>10</v>
      </c>
      <c r="C63" s="30">
        <v>118540.0</v>
      </c>
      <c r="D63" s="14">
        <v>566331.0</v>
      </c>
    </row>
    <row r="66">
      <c r="C66" s="18">
        <f t="shared" ref="C66:D66" si="2">SUM(C61:C64)</f>
        <v>455161</v>
      </c>
      <c r="D66" s="18">
        <f t="shared" si="2"/>
        <v>1320817</v>
      </c>
    </row>
    <row r="80">
      <c r="B80" s="1"/>
      <c r="C80" s="22" t="s">
        <v>0</v>
      </c>
      <c r="D80" s="23" t="s">
        <v>1</v>
      </c>
    </row>
    <row r="81">
      <c r="B81" s="6" t="s">
        <v>11</v>
      </c>
      <c r="C81" s="28">
        <v>83752.0</v>
      </c>
      <c r="D81" s="19">
        <v>464985.0</v>
      </c>
    </row>
    <row r="82">
      <c r="B82" s="6" t="s">
        <v>12</v>
      </c>
      <c r="C82" s="30">
        <v>114589.0</v>
      </c>
      <c r="D82" s="19">
        <v>563214.0</v>
      </c>
    </row>
    <row r="83">
      <c r="B83" s="6" t="s">
        <v>13</v>
      </c>
      <c r="C83" s="30">
        <v>585861.0</v>
      </c>
      <c r="D83" s="14">
        <v>644573.0</v>
      </c>
    </row>
    <row r="85">
      <c r="C85" s="18">
        <f t="shared" ref="C85:D85" si="3">SUM(C81:C83)</f>
        <v>784202</v>
      </c>
      <c r="D85" s="18">
        <f t="shared" si="3"/>
        <v>1672772</v>
      </c>
    </row>
    <row r="87">
      <c r="A87" s="26">
        <v>2026.0</v>
      </c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9">
      <c r="B89" s="37"/>
      <c r="C89" s="38" t="s">
        <v>0</v>
      </c>
      <c r="D89" s="39" t="s">
        <v>1</v>
      </c>
    </row>
    <row r="90">
      <c r="B90" s="32" t="s">
        <v>2</v>
      </c>
      <c r="C90" s="40">
        <v>163675.0</v>
      </c>
      <c r="D90" s="36">
        <v>545688.0</v>
      </c>
    </row>
    <row r="91">
      <c r="B91" s="32" t="s">
        <v>3</v>
      </c>
      <c r="C91" s="40">
        <v>157652.0</v>
      </c>
      <c r="D91" s="36">
        <v>524517.0</v>
      </c>
    </row>
    <row r="92">
      <c r="B92" s="32" t="s">
        <v>4</v>
      </c>
      <c r="C92" s="40">
        <v>177533.0</v>
      </c>
      <c r="D92" s="36">
        <v>540346.0</v>
      </c>
    </row>
    <row r="94">
      <c r="C94" s="18">
        <f t="shared" ref="C94:D94" si="4">SUM(C90:C92)</f>
        <v>498860</v>
      </c>
      <c r="D94" s="18">
        <f t="shared" si="4"/>
        <v>1610551</v>
      </c>
    </row>
    <row r="98">
      <c r="D98" s="18">
        <v>1610551.0</v>
      </c>
    </row>
    <row r="103">
      <c r="C103" s="10" t="s">
        <v>14</v>
      </c>
      <c r="D103" s="39"/>
    </row>
    <row r="104">
      <c r="B104" s="32" t="s">
        <v>2</v>
      </c>
      <c r="C104" s="41">
        <v>9588.0</v>
      </c>
    </row>
    <row r="105">
      <c r="B105" s="32" t="s">
        <v>3</v>
      </c>
      <c r="C105" s="41">
        <v>36837.0</v>
      </c>
    </row>
    <row r="106">
      <c r="B106" s="32" t="s">
        <v>4</v>
      </c>
      <c r="C106" s="41">
        <v>51616.0</v>
      </c>
    </row>
    <row r="108">
      <c r="C108" s="10" t="s">
        <v>14</v>
      </c>
      <c r="D108" s="39"/>
    </row>
    <row r="109">
      <c r="B109" s="10" t="s">
        <v>5</v>
      </c>
      <c r="C109" s="10">
        <v>31469.0</v>
      </c>
    </row>
    <row r="110">
      <c r="B110" s="10" t="s">
        <v>6</v>
      </c>
      <c r="C110" s="10">
        <v>43156.0</v>
      </c>
    </row>
    <row r="111">
      <c r="B111" s="10" t="s">
        <v>7</v>
      </c>
      <c r="C111" s="10">
        <v>41101.0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A2" s="42" t="s">
        <v>15</v>
      </c>
      <c r="B2" s="43"/>
      <c r="C2" s="43"/>
      <c r="D2" s="44"/>
    </row>
    <row r="3">
      <c r="A3" s="45"/>
      <c r="B3" s="46" t="s">
        <v>0</v>
      </c>
      <c r="C3" s="47" t="s">
        <v>1</v>
      </c>
      <c r="D3" s="48" t="s">
        <v>16</v>
      </c>
    </row>
    <row r="4">
      <c r="A4" s="49" t="s">
        <v>2</v>
      </c>
      <c r="B4" s="50">
        <f>IFERROR(__xludf.DUMMYFUNCTION("IMPORTRANGE(""10R5uUgg3xkAtZqjqFNBJJLynkxJ1lIqgci9y8UaTq6c"", ""January!F43"")"),163675.0)</f>
        <v>163675</v>
      </c>
      <c r="C4" s="51">
        <f>IFERROR(__xludf.DUMMYFUNCTION("IMPORTRANGE(""10R5uUgg3xkAtZqjqFNBJJLynkxJ1lIqgci9y8UaTq6c"", ""January!B43"")"),545688.0)</f>
        <v>545688</v>
      </c>
      <c r="D4" s="52">
        <f t="shared" ref="D4:D7" si="1">sum(B4:C4)</f>
        <v>709363</v>
      </c>
    </row>
    <row r="5">
      <c r="A5" s="49" t="s">
        <v>3</v>
      </c>
      <c r="B5" s="50">
        <f>IFERROR(__xludf.DUMMYFUNCTION("IMPORTRANGE(""10R5uUgg3xkAtZqjqFNBJJLynkxJ1lIqgci9y8UaTq6c"", ""feB!F43"")"),157652.0)</f>
        <v>157652</v>
      </c>
      <c r="C5" s="51">
        <f>IFERROR(__xludf.DUMMYFUNCTION("IMPORTRANGE(""10R5uUgg3xkAtZqjqFNBJJLynkxJ1lIqgci9y8UaTq6c"", ""feB!B43"")"),524517.0)</f>
        <v>524517</v>
      </c>
      <c r="D5" s="52">
        <f t="shared" si="1"/>
        <v>682169</v>
      </c>
    </row>
    <row r="6">
      <c r="A6" s="49" t="s">
        <v>4</v>
      </c>
      <c r="B6" s="50">
        <f>IFERROR(__xludf.DUMMYFUNCTION("IMPORTRANGE(""10R5uUgg3xkAtZqjqFNBJJLynkxJ1lIqgci9y8UaTq6c"", ""MARCH!F43"")"),177533.0)</f>
        <v>177533</v>
      </c>
      <c r="C6" s="51">
        <f>IFERROR(__xludf.DUMMYFUNCTION("IMPORTRANGE(""10R5uUgg3xkAtZqjqFNBJJLynkxJ1lIqgci9y8UaTq6c"", ""MARCH!B43"")"),540346.0)</f>
        <v>540346</v>
      </c>
      <c r="D6" s="52">
        <f t="shared" si="1"/>
        <v>717879</v>
      </c>
    </row>
    <row r="7">
      <c r="A7" s="53" t="s">
        <v>17</v>
      </c>
      <c r="B7" s="54">
        <f t="shared" ref="B7:C7" si="2">SUM(B4:B6)</f>
        <v>498860</v>
      </c>
      <c r="C7" s="55">
        <f t="shared" si="2"/>
        <v>1610551</v>
      </c>
      <c r="D7" s="56">
        <f t="shared" si="1"/>
        <v>2109411</v>
      </c>
    </row>
    <row r="8">
      <c r="B8" s="57" t="s">
        <v>0</v>
      </c>
      <c r="C8" s="58" t="s">
        <v>1</v>
      </c>
      <c r="D8" s="59" t="s">
        <v>16</v>
      </c>
    </row>
    <row r="9">
      <c r="A9" s="60" t="s">
        <v>5</v>
      </c>
      <c r="B9" s="50">
        <f>IFERROR(__xludf.DUMMYFUNCTION("IMPORTRANGE(""10R5uUgg3xkAtZqjqFNBJJLynkxJ1lIqgci9y8UaTq6c"", ""Apr!F43"")"),318164.0)</f>
        <v>318164</v>
      </c>
      <c r="C9" s="51">
        <f>IFERROR(__xludf.DUMMYFUNCTION("IMPORTRANGE(""10R5uUgg3xkAtZqjqFNBJJLynkxJ1lIqgci9y8UaTq6c"", ""Apr!B43"")"),457805.0)</f>
        <v>457805</v>
      </c>
      <c r="D9" s="52">
        <f t="shared" ref="D9:D12" si="3">sum(B9:C9)</f>
        <v>775969</v>
      </c>
    </row>
    <row r="10">
      <c r="A10" s="60" t="s">
        <v>6</v>
      </c>
      <c r="B10" s="50">
        <f>IFERROR(__xludf.DUMMYFUNCTION("IMPORTRANGE(""10R5uUgg3xkAtZqjqFNBJJLynkxJ1lIqgci9y8UaTq6c"", ""May!F43"")"),348784.0)</f>
        <v>348784</v>
      </c>
      <c r="C10" s="51">
        <f>IFERROR(__xludf.DUMMYFUNCTION("IMPORTRANGE(""10R5uUgg3xkAtZqjqFNBJJLynkxJ1lIqgci9y8UaTq6c"", ""May!B43"")"),836549.0)</f>
        <v>836549</v>
      </c>
      <c r="D10" s="52">
        <f t="shared" si="3"/>
        <v>1185333</v>
      </c>
    </row>
    <row r="11">
      <c r="A11" s="60" t="s">
        <v>7</v>
      </c>
      <c r="B11" s="50">
        <f>IFERROR(__xludf.DUMMYFUNCTION("IMPORTRANGE(""10R5uUgg3xkAtZqjqFNBJJLynkxJ1lIqgci9y8UaTq6c"", ""June!F43"")"),423334.0)</f>
        <v>423334</v>
      </c>
      <c r="C11" s="51">
        <f>IFERROR(__xludf.DUMMYFUNCTION("IMPORTRANGE(""10R5uUgg3xkAtZqjqFNBJJLynkxJ1lIqgci9y8UaTq6c"", ""June!B43"")"),1750699.0)</f>
        <v>1750699</v>
      </c>
      <c r="D11" s="52">
        <f t="shared" si="3"/>
        <v>2174033</v>
      </c>
    </row>
    <row r="12">
      <c r="A12" s="61" t="s">
        <v>18</v>
      </c>
      <c r="B12" s="54">
        <f t="shared" ref="B12:C12" si="4">sum(B9:B11)</f>
        <v>1090282</v>
      </c>
      <c r="C12" s="55">
        <f t="shared" si="4"/>
        <v>3045053</v>
      </c>
      <c r="D12" s="56">
        <f t="shared" si="3"/>
        <v>4135335</v>
      </c>
    </row>
    <row r="13">
      <c r="B13" s="46" t="s">
        <v>0</v>
      </c>
      <c r="C13" s="47" t="s">
        <v>1</v>
      </c>
      <c r="D13" s="48" t="s">
        <v>16</v>
      </c>
    </row>
    <row r="14">
      <c r="A14" s="49" t="s">
        <v>8</v>
      </c>
      <c r="B14" s="50">
        <f>IFERROR(__xludf.DUMMYFUNCTION("IMPORTRANGE(""10R5uUgg3xkAtZqjqFNBJJLynkxJ1lIqgci9y8UaTq6c"", ""Jul!F43"")"),153412.0)</f>
        <v>153412</v>
      </c>
      <c r="C14" s="51">
        <f>IFERROR(__xludf.DUMMYFUNCTION("IMPORTRANGE(""10R5uUgg3xkAtZqjqFNBJJLynkxJ1lIqgci9y8UaTq6c"", ""Jul!B43"")"),336289.0)</f>
        <v>336289</v>
      </c>
      <c r="D14" s="52">
        <f t="shared" ref="D14:D16" si="5">sum(B14:C14)</f>
        <v>489701</v>
      </c>
    </row>
    <row r="15">
      <c r="A15" s="49" t="s">
        <v>9</v>
      </c>
      <c r="B15" s="50">
        <f>IFERROR(__xludf.DUMMYFUNCTION("IMPORTRANGE(""10R5uUgg3xkAtZqjqFNBJJLynkxJ1lIqgci9y8UaTq6c"", ""Jul!F43"")"),153412.0)</f>
        <v>153412</v>
      </c>
      <c r="C15" s="51">
        <f>IFERROR(__xludf.DUMMYFUNCTION("IMPORTRANGE(""10R5uUgg3xkAtZqjqFNBJJLynkxJ1lIqgci9y8UaTq6c"", ""Jul!B43"")"),336289.0)</f>
        <v>336289</v>
      </c>
      <c r="D15" s="52">
        <f t="shared" si="5"/>
        <v>489701</v>
      </c>
    </row>
    <row r="16">
      <c r="A16" s="49" t="s">
        <v>10</v>
      </c>
      <c r="B16" s="50">
        <f>IFERROR(__xludf.DUMMYFUNCTION("IMPORTRANGE(""10R5uUgg3xkAtZqjqFNBJJLynkxJ1lIqgci9y8UaTq6c"", ""Jul!F43"")"),153412.0)</f>
        <v>153412</v>
      </c>
      <c r="C16" s="51">
        <f>IFERROR(__xludf.DUMMYFUNCTION("IMPORTRANGE(""10R5uUgg3xkAtZqjqFNBJJLynkxJ1lIqgci9y8UaTq6c"", ""Jul!B43"")"),336289.0)</f>
        <v>336289</v>
      </c>
      <c r="D16" s="52">
        <f t="shared" si="5"/>
        <v>489701</v>
      </c>
    </row>
    <row r="17">
      <c r="A17" s="53" t="s">
        <v>19</v>
      </c>
      <c r="B17" s="54">
        <f t="shared" ref="B17:C17" si="6">sum(B14:B16)</f>
        <v>460236</v>
      </c>
      <c r="C17" s="55">
        <f t="shared" si="6"/>
        <v>1008867</v>
      </c>
      <c r="D17" s="62"/>
    </row>
    <row r="18">
      <c r="B18" s="46" t="s">
        <v>0</v>
      </c>
      <c r="C18" s="47" t="s">
        <v>1</v>
      </c>
      <c r="D18" s="48" t="s">
        <v>16</v>
      </c>
    </row>
    <row r="19">
      <c r="A19" s="49" t="s">
        <v>11</v>
      </c>
      <c r="B19" s="50">
        <f>IFERROR(__xludf.DUMMYFUNCTION("IMPORTRANGE(""10R5uUgg3xkAtZqjqFNBJJLynkxJ1lIqgci9y8UaTq6c"", ""Jul!F43"")"),153412.0)</f>
        <v>153412</v>
      </c>
      <c r="C19" s="51">
        <f>IFERROR(__xludf.DUMMYFUNCTION("IMPORTRANGE(""10R5uUgg3xkAtZqjqFNBJJLynkxJ1lIqgci9y8UaTq6c"", ""Jul!B43"")"),336289.0)</f>
        <v>336289</v>
      </c>
      <c r="D19" s="62"/>
    </row>
    <row r="20">
      <c r="A20" s="49" t="s">
        <v>12</v>
      </c>
      <c r="B20" s="50">
        <f>IFERROR(__xludf.DUMMYFUNCTION("IMPORTRANGE(""10R5uUgg3xkAtZqjqFNBJJLynkxJ1lIqgci9y8UaTq6c"", ""Jul!F43"")"),153412.0)</f>
        <v>153412</v>
      </c>
      <c r="C20" s="51">
        <f>IFERROR(__xludf.DUMMYFUNCTION("IMPORTRANGE(""10R5uUgg3xkAtZqjqFNBJJLynkxJ1lIqgci9y8UaTq6c"", ""Jul!B43"")"),336289.0)</f>
        <v>336289</v>
      </c>
      <c r="D20" s="62"/>
    </row>
    <row r="21">
      <c r="A21" s="49" t="s">
        <v>13</v>
      </c>
      <c r="B21" s="50">
        <f>IFERROR(__xludf.DUMMYFUNCTION("IMPORTRANGE(""10R5uUgg3xkAtZqjqFNBJJLynkxJ1lIqgci9y8UaTq6c"", ""Jul!F43"")"),153412.0)</f>
        <v>153412</v>
      </c>
      <c r="C21" s="51">
        <f>IFERROR(__xludf.DUMMYFUNCTION("IMPORTRANGE(""10R5uUgg3xkAtZqjqFNBJJLynkxJ1lIqgci9y8UaTq6c"", ""Jul!B43"")"),336289.0)</f>
        <v>336289</v>
      </c>
      <c r="D21" s="62"/>
    </row>
    <row r="22">
      <c r="A22" s="53" t="s">
        <v>20</v>
      </c>
      <c r="B22" s="63"/>
      <c r="C22" s="64"/>
      <c r="D22" s="62"/>
    </row>
    <row r="23">
      <c r="A23" s="65" t="s">
        <v>21</v>
      </c>
      <c r="B23" s="66"/>
      <c r="C23" s="66"/>
      <c r="D23" s="62"/>
    </row>
    <row r="29">
      <c r="A29" s="42" t="s">
        <v>22</v>
      </c>
      <c r="B29" s="43"/>
      <c r="C29" s="43"/>
      <c r="D29" s="44"/>
    </row>
    <row r="30">
      <c r="A30" s="45"/>
      <c r="B30" s="46" t="s">
        <v>0</v>
      </c>
      <c r="C30" s="47" t="s">
        <v>1</v>
      </c>
      <c r="D30" s="48" t="s">
        <v>16</v>
      </c>
    </row>
    <row r="31">
      <c r="A31" s="49" t="s">
        <v>2</v>
      </c>
      <c r="B31" s="50">
        <f>IFERROR(__xludf.DUMMYFUNCTION("IMPORTRANGE(""10R5uUgg3xkAtZqjqFNBJJLynkxJ1lIqgci9y8UaTq6c"", ""January!G6"")"),65195.0)</f>
        <v>65195</v>
      </c>
      <c r="C31" s="51">
        <f>IFERROR(__xludf.DUMMYFUNCTION("IMPORTRANGE(""10R5uUgg3xkAtZqjqFNBJJLynkxJ1lIqgci9y8UaTq6c"", ""January!A6"")"),65203.0)</f>
        <v>65203</v>
      </c>
      <c r="D31" s="52">
        <f t="shared" ref="D31:D34" si="7">sum(B31:C31)</f>
        <v>130398</v>
      </c>
    </row>
    <row r="32">
      <c r="A32" s="49" t="s">
        <v>3</v>
      </c>
      <c r="B32" s="50">
        <f>IFERROR(__xludf.DUMMYFUNCTION("IMPORTRANGE(""10R5uUgg3xkAtZqjqFNBJJLynkxJ1lIqgci9y8UaTq6c"", ""feB!G6"")"),63393.0)</f>
        <v>63393</v>
      </c>
      <c r="C32" s="51">
        <f>IFERROR(__xludf.DUMMYFUNCTION("IMPORTRANGE(""10R5uUgg3xkAtZqjqFNBJJLynkxJ1lIqgci9y8UaTq6c"", ""FEB!A6"")"),63393.0)</f>
        <v>63393</v>
      </c>
      <c r="D32" s="52">
        <f t="shared" si="7"/>
        <v>126786</v>
      </c>
    </row>
    <row r="33">
      <c r="A33" s="49" t="s">
        <v>4</v>
      </c>
      <c r="B33" s="50">
        <f>IFERROR(__xludf.DUMMYFUNCTION("IMPORTRANGE(""10R5uUgg3xkAtZqjqFNBJJLynkxJ1lIqgci9y8UaTq6c"", ""MARCH!A6"")"),71454.0)</f>
        <v>71454</v>
      </c>
      <c r="C33" s="51">
        <f>IFERROR(__xludf.DUMMYFUNCTION("IMPORTRANGE(""10R5uUgg3xkAtZqjqFNBJJLynkxJ1lIqgci9y8UaTq6c"", ""MARCH!G6"")"),71463.0)</f>
        <v>71463</v>
      </c>
      <c r="D33" s="52">
        <f t="shared" si="7"/>
        <v>142917</v>
      </c>
    </row>
    <row r="34">
      <c r="A34" s="53" t="s">
        <v>17</v>
      </c>
      <c r="B34" s="54">
        <f t="shared" ref="B34:C34" si="8">SUM(B31:B33)</f>
        <v>200042</v>
      </c>
      <c r="C34" s="55">
        <f t="shared" si="8"/>
        <v>200059</v>
      </c>
      <c r="D34" s="56">
        <f t="shared" si="7"/>
        <v>400101</v>
      </c>
    </row>
    <row r="35">
      <c r="B35" s="57" t="s">
        <v>0</v>
      </c>
      <c r="C35" s="58" t="s">
        <v>1</v>
      </c>
      <c r="D35" s="59" t="s">
        <v>16</v>
      </c>
    </row>
    <row r="36">
      <c r="A36" s="60" t="s">
        <v>5</v>
      </c>
      <c r="B36" s="50">
        <f>IFERROR(__xludf.DUMMYFUNCTION("IMPORTRANGE(""10R5uUgg3xkAtZqjqFNBJJLynkxJ1lIqgci9y8UaTq6c"", ""APR!G6"")"),106015.0)</f>
        <v>106015</v>
      </c>
      <c r="C36" s="51">
        <f>IFERROR(__xludf.DUMMYFUNCTION("IMPORTRANGE(""10R5uUgg3xkAtZqjqFNBJJLynkxJ1lIqgci9y8UaTq6c"", ""APR!A6"")"),106014.0)</f>
        <v>106014</v>
      </c>
      <c r="D36" s="52">
        <f t="shared" ref="D36:D39" si="9">sum(B36:C36)</f>
        <v>212029</v>
      </c>
    </row>
    <row r="37">
      <c r="A37" s="60" t="s">
        <v>6</v>
      </c>
      <c r="B37" s="50">
        <f>IFERROR(__xludf.DUMMYFUNCTION("IMPORTRANGE(""10R5uUgg3xkAtZqjqFNBJJLynkxJ1lIqgci9y8UaTq6c"", ""MAY!G6"")"),121556.0)</f>
        <v>121556</v>
      </c>
      <c r="C37" s="51">
        <f>IFERROR(__xludf.DUMMYFUNCTION("IMPORTRANGE(""10R5uUgg3xkAtZqjqFNBJJLynkxJ1lIqgci9y8UaTq6c"", ""MAY!A6"")"),121555.0)</f>
        <v>121555</v>
      </c>
      <c r="D37" s="52">
        <f t="shared" si="9"/>
        <v>243111</v>
      </c>
    </row>
    <row r="38">
      <c r="A38" s="60" t="s">
        <v>7</v>
      </c>
      <c r="B38" s="50">
        <f>IFERROR(__xludf.DUMMYFUNCTION("IMPORTRANGE(""10R5uUgg3xkAtZqjqFNBJJLynkxJ1lIqgci9y8UaTq6c"", ""JUNE!G6"")"),114157.0)</f>
        <v>114157</v>
      </c>
      <c r="C38" s="51">
        <f>IFERROR(__xludf.DUMMYFUNCTION("IMPORTRANGE(""10R5uUgg3xkAtZqjqFNBJJLynkxJ1lIqgci9y8UaTq6c"", ""JUNE!A6"")"),114156.0)</f>
        <v>114156</v>
      </c>
      <c r="D38" s="52">
        <f t="shared" si="9"/>
        <v>228313</v>
      </c>
    </row>
    <row r="39">
      <c r="A39" s="61" t="s">
        <v>18</v>
      </c>
      <c r="B39" s="54">
        <f t="shared" ref="B39:C39" si="10">sum(B36:B38)</f>
        <v>341728</v>
      </c>
      <c r="C39" s="55">
        <f t="shared" si="10"/>
        <v>341725</v>
      </c>
      <c r="D39" s="56">
        <f t="shared" si="9"/>
        <v>683453</v>
      </c>
    </row>
    <row r="40">
      <c r="B40" s="46" t="s">
        <v>0</v>
      </c>
      <c r="C40" s="47" t="s">
        <v>1</v>
      </c>
      <c r="D40" s="48" t="s">
        <v>16</v>
      </c>
    </row>
    <row r="41">
      <c r="A41" s="49" t="s">
        <v>8</v>
      </c>
      <c r="B41" s="50">
        <f>IFERROR(__xludf.DUMMYFUNCTION("IMPORTRANGE(""10R5uUgg3xkAtZqjqFNBJJLynkxJ1lIqgci9y8UaTq6c"", ""JUL!G6"")"),60632.0)</f>
        <v>60632</v>
      </c>
      <c r="C41" s="51">
        <f>IFERROR(__xludf.DUMMYFUNCTION("IMPORTRANGE(""10R5uUgg3xkAtZqjqFNBJJLynkxJ1lIqgci9y8UaTq6c"", ""JUL!A6"")"),60632.0)</f>
        <v>60632</v>
      </c>
      <c r="D41" s="52">
        <f t="shared" ref="D41:D43" si="11">sum(B41:C41)</f>
        <v>121264</v>
      </c>
    </row>
    <row r="42">
      <c r="A42" s="49" t="s">
        <v>9</v>
      </c>
      <c r="B42" s="50">
        <f>IFERROR(__xludf.DUMMYFUNCTION("IMPORTRANGE(""10R5uUgg3xkAtZqjqFNBJJLynkxJ1lIqgci9y8UaTq6c"", ""AUG!G6"")"),71167.0)</f>
        <v>71167</v>
      </c>
      <c r="C42" s="51">
        <f>IFERROR(__xludf.DUMMYFUNCTION("IMPORTRANGE(""10R5uUgg3xkAtZqjqFNBJJLynkxJ1lIqgci9y8UaTq6c"", ""AUG!A6"")"),71164.0)</f>
        <v>71164</v>
      </c>
      <c r="D42" s="52">
        <f t="shared" si="11"/>
        <v>142331</v>
      </c>
    </row>
    <row r="43">
      <c r="A43" s="49" t="s">
        <v>10</v>
      </c>
      <c r="B43" s="50">
        <f>IFERROR(__xludf.DUMMYFUNCTION("IMPORTRANGE(""10R5uUgg3xkAtZqjqFNBJJLynkxJ1lIqgci9y8UaTq6c"", ""SEP!G6"")"),61661.0)</f>
        <v>61661</v>
      </c>
      <c r="C43" s="51">
        <f>IFERROR(__xludf.DUMMYFUNCTION("IMPORTRANGE(""10R5uUgg3xkAtZqjqFNBJJLynkxJ1lIqgci9y8UaTq6c"", ""SEP!A6"")"),61661.0)</f>
        <v>61661</v>
      </c>
      <c r="D43" s="52">
        <f t="shared" si="11"/>
        <v>123322</v>
      </c>
    </row>
    <row r="44">
      <c r="A44" s="53" t="s">
        <v>19</v>
      </c>
      <c r="B44" s="54">
        <f t="shared" ref="B44:C44" si="12">sum(B41:B43)</f>
        <v>193460</v>
      </c>
      <c r="C44" s="55">
        <f t="shared" si="12"/>
        <v>193457</v>
      </c>
      <c r="D44" s="62"/>
    </row>
    <row r="45">
      <c r="B45" s="46" t="s">
        <v>0</v>
      </c>
      <c r="C45" s="47" t="s">
        <v>1</v>
      </c>
      <c r="D45" s="48" t="s">
        <v>16</v>
      </c>
    </row>
    <row r="46">
      <c r="A46" s="49" t="s">
        <v>11</v>
      </c>
      <c r="B46" s="50">
        <f>IFERROR(__xludf.DUMMYFUNCTION("IMPORTRANGE(""10R5uUgg3xkAtZqjqFNBJJLynkxJ1lIqgci9y8UaTq6c"", ""APR!G6"")"),106015.0)</f>
        <v>106015</v>
      </c>
      <c r="C46" s="51">
        <f>IFERROR(__xludf.DUMMYFUNCTION("IMPORTRANGE(""10R5uUgg3xkAtZqjqFNBJJLynkxJ1lIqgci9y8UaTq6c"", ""APRIL!A6"")"),23529.0)</f>
        <v>23529</v>
      </c>
      <c r="D46" s="62"/>
    </row>
    <row r="47">
      <c r="A47" s="49" t="s">
        <v>12</v>
      </c>
      <c r="B47" s="50">
        <f>IFERROR(__xludf.DUMMYFUNCTION("IMPORTRANGE(""10R5uUgg3xkAtZqjqFNBJJLynkxJ1lIqgci9y8UaTq6c"", ""APR!G6"")"),106015.0)</f>
        <v>106015</v>
      </c>
      <c r="C47" s="51">
        <f>IFERROR(__xludf.DUMMYFUNCTION("IMPORTRANGE(""10R5uUgg3xkAtZqjqFNBJJLynkxJ1lIqgci9y8UaTq6c"", ""APRIL!A6"")"),23529.0)</f>
        <v>23529</v>
      </c>
      <c r="D47" s="62"/>
    </row>
    <row r="48">
      <c r="A48" s="49" t="s">
        <v>13</v>
      </c>
      <c r="B48" s="50">
        <f>IFERROR(__xludf.DUMMYFUNCTION("IMPORTRANGE(""10R5uUgg3xkAtZqjqFNBJJLynkxJ1lIqgci9y8UaTq6c"", ""APR!G6"")"),106015.0)</f>
        <v>106015</v>
      </c>
      <c r="C48" s="51">
        <f>IFERROR(__xludf.DUMMYFUNCTION("IMPORTRANGE(""10R5uUgg3xkAtZqjqFNBJJLynkxJ1lIqgci9y8UaTq6c"", ""APRIL!A6"")"),23529.0)</f>
        <v>23529</v>
      </c>
      <c r="D48" s="62"/>
    </row>
    <row r="49">
      <c r="A49" s="53" t="s">
        <v>20</v>
      </c>
      <c r="B49" s="63"/>
      <c r="C49" s="64"/>
      <c r="D49" s="62"/>
    </row>
    <row r="50">
      <c r="A50" s="65" t="s">
        <v>21</v>
      </c>
      <c r="B50" s="66"/>
      <c r="C50" s="66"/>
      <c r="D50" s="62"/>
    </row>
    <row r="57">
      <c r="A57" s="42" t="s">
        <v>23</v>
      </c>
      <c r="B57" s="43"/>
      <c r="C57" s="43"/>
      <c r="D57" s="44"/>
    </row>
    <row r="58">
      <c r="A58" s="45"/>
      <c r="B58" s="46" t="s">
        <v>0</v>
      </c>
      <c r="C58" s="47" t="s">
        <v>1</v>
      </c>
      <c r="D58" s="67" t="s">
        <v>16</v>
      </c>
    </row>
    <row r="59">
      <c r="A59" s="49" t="s">
        <v>2</v>
      </c>
      <c r="B59" s="50">
        <f>IFERROR(__xludf.DUMMYFUNCTION("IMPORTRANGE(""10R5uUgg3xkAtZqjqFNBJJLynkxJ1lIqgci9y8UaTq6c"", ""January!H20"")"),3306508.0)</f>
        <v>3306508</v>
      </c>
      <c r="C59" s="51">
        <f>IFERROR(__xludf.DUMMYFUNCTION("IMPORTRANGE(""10R5uUgg3xkAtZqjqFNBJJLynkxJ1lIqgci9y8UaTq6c"", ""January!B20"")"),2643262.0)</f>
        <v>2643262</v>
      </c>
      <c r="D59" s="52">
        <f t="shared" ref="D59:D62" si="13">sum(B59:C59)</f>
        <v>5949770</v>
      </c>
    </row>
    <row r="60">
      <c r="A60" s="49" t="s">
        <v>3</v>
      </c>
      <c r="B60" s="50">
        <f>IFERROR(__xludf.DUMMYFUNCTION("IMPORTRANGE(""10R5uUgg3xkAtZqjqFNBJJLynkxJ1lIqgci9y8UaTq6c"", ""FEB!H20"")"),3511748.0)</f>
        <v>3511748</v>
      </c>
      <c r="C60" s="51">
        <f>IFERROR(__xludf.DUMMYFUNCTION("IMPORTRANGE(""10R5uUgg3xkAtZqjqFNBJJLynkxJ1lIqgci9y8UaTq6c"", ""FEB!B20"")"),2791290.0)</f>
        <v>2791290</v>
      </c>
      <c r="D60" s="52">
        <f t="shared" si="13"/>
        <v>6303038</v>
      </c>
    </row>
    <row r="61">
      <c r="A61" s="49" t="s">
        <v>4</v>
      </c>
      <c r="B61" s="50">
        <f>IFERROR(__xludf.DUMMYFUNCTION("IMPORTRANGE(""10R5uUgg3xkAtZqjqFNBJJLynkxJ1lIqgci9y8UaTq6c"", ""MARCH!H20"")"),3457411.0)</f>
        <v>3457411</v>
      </c>
      <c r="C61" s="51">
        <f>IFERROR(__xludf.DUMMYFUNCTION("IMPORTRANGE(""10R5uUgg3xkAtZqjqFNBJJLynkxJ1lIqgci9y8UaTq6c"", ""MARCH!B20"")"),2815726.0)</f>
        <v>2815726</v>
      </c>
      <c r="D61" s="52">
        <f t="shared" si="13"/>
        <v>6273137</v>
      </c>
    </row>
    <row r="62">
      <c r="A62" s="53" t="s">
        <v>17</v>
      </c>
      <c r="B62" s="54">
        <f t="shared" ref="B62:C62" si="14">SUM(B59:B61)</f>
        <v>10275667</v>
      </c>
      <c r="C62" s="55">
        <f t="shared" si="14"/>
        <v>8250278</v>
      </c>
      <c r="D62" s="56">
        <f t="shared" si="13"/>
        <v>18525945</v>
      </c>
    </row>
    <row r="63">
      <c r="B63" s="57" t="s">
        <v>0</v>
      </c>
      <c r="C63" s="58" t="s">
        <v>1</v>
      </c>
      <c r="D63" s="59" t="s">
        <v>16</v>
      </c>
    </row>
    <row r="64">
      <c r="A64" s="60" t="s">
        <v>5</v>
      </c>
      <c r="B64" s="50">
        <f>IFERROR(__xludf.DUMMYFUNCTION("IMPORTRANGE(""10R5uUgg3xkAtZqjqFNBJJLynkxJ1lIqgci9y8UaTq6c"", ""APR!H20"")"),4046328.0)</f>
        <v>4046328</v>
      </c>
      <c r="C64" s="51">
        <f>IFERROR(__xludf.DUMMYFUNCTION("IMPORTRANGE(""10R5uUgg3xkAtZqjqFNBJJLynkxJ1lIqgci9y8UaTq6c"", ""APR!B20"")"),3170577.0)</f>
        <v>3170577</v>
      </c>
      <c r="D64" s="52">
        <f t="shared" ref="D64:D67" si="15">sum(B64:C64)</f>
        <v>7216905</v>
      </c>
    </row>
    <row r="65">
      <c r="A65" s="60" t="s">
        <v>6</v>
      </c>
      <c r="B65" s="50">
        <f>IFERROR(__xludf.DUMMYFUNCTION("IMPORTRANGE(""10R5uUgg3xkAtZqjqFNBJJLynkxJ1lIqgci9y8UaTq6c"", ""MAY!H20"")"),4397805.0)</f>
        <v>4397805</v>
      </c>
      <c r="C65" s="51">
        <f>IFERROR(__xludf.DUMMYFUNCTION("IMPORTRANGE(""10R5uUgg3xkAtZqjqFNBJJLynkxJ1lIqgci9y8UaTq6c"", ""MAY!B20"")"),3413981.0)</f>
        <v>3413981</v>
      </c>
      <c r="D65" s="52">
        <f t="shared" si="15"/>
        <v>7811786</v>
      </c>
    </row>
    <row r="66">
      <c r="A66" s="60" t="s">
        <v>7</v>
      </c>
      <c r="B66" s="50">
        <f>IFERROR(__xludf.DUMMYFUNCTION("IMPORTRANGE(""10R5uUgg3xkAtZqjqFNBJJLynkxJ1lIqgci9y8UaTq6c"", ""JUNE!H20"")"),4332647.0)</f>
        <v>4332647</v>
      </c>
      <c r="C66" s="51">
        <f>IFERROR(__xludf.DUMMYFUNCTION("IMPORTRANGE(""10R5uUgg3xkAtZqjqFNBJJLynkxJ1lIqgci9y8UaTq6c"", ""JUNE!B20"")"),3239334.0)</f>
        <v>3239334</v>
      </c>
      <c r="D66" s="52">
        <f t="shared" si="15"/>
        <v>7571981</v>
      </c>
    </row>
    <row r="67">
      <c r="A67" s="61" t="s">
        <v>18</v>
      </c>
      <c r="B67" s="54">
        <f t="shared" ref="B67:C67" si="16">sum(B64:B66)</f>
        <v>12776780</v>
      </c>
      <c r="C67" s="55">
        <f t="shared" si="16"/>
        <v>9823892</v>
      </c>
      <c r="D67" s="56">
        <f t="shared" si="15"/>
        <v>22600672</v>
      </c>
    </row>
    <row r="68">
      <c r="B68" s="46" t="s">
        <v>0</v>
      </c>
      <c r="C68" s="47" t="s">
        <v>1</v>
      </c>
      <c r="D68" s="48" t="s">
        <v>16</v>
      </c>
    </row>
    <row r="69">
      <c r="A69" s="49" t="s">
        <v>8</v>
      </c>
      <c r="B69" s="50">
        <f>IFERROR(__xludf.DUMMYFUNCTION("IMPORTRANGE(""10R5uUgg3xkAtZqjqFNBJJLynkxJ1lIqgci9y8UaTq6c"", ""JUL!H20"")"),3857308.0)</f>
        <v>3857308</v>
      </c>
      <c r="C69" s="51">
        <f>IFERROR(__xludf.DUMMYFUNCTION("IMPORTRANGE(""10R5uUgg3xkAtZqjqFNBJJLynkxJ1lIqgci9y8UaTq6c"", ""JUL!B20"")"),3084676.0)</f>
        <v>3084676</v>
      </c>
      <c r="D69" s="52">
        <f t="shared" ref="D69:D71" si="17">sum(B69:C69)</f>
        <v>6941984</v>
      </c>
    </row>
    <row r="70">
      <c r="A70" s="49" t="s">
        <v>9</v>
      </c>
      <c r="B70" s="50">
        <f>IFERROR(__xludf.DUMMYFUNCTION("IMPORTRANGE(""10R5uUgg3xkAtZqjqFNBJJLynkxJ1lIqgci9y8UaTq6c"", ""AUG!H20"")"),3820219.0)</f>
        <v>3820219</v>
      </c>
      <c r="C70" s="51">
        <f>IFERROR(__xludf.DUMMYFUNCTION("IMPORTRANGE(""10R5uUgg3xkAtZqjqFNBJJLynkxJ1lIqgci9y8UaTq6c"", ""AUG!B20"")"),3015527.0)</f>
        <v>3015527</v>
      </c>
      <c r="D70" s="52">
        <f t="shared" si="17"/>
        <v>6835746</v>
      </c>
    </row>
    <row r="71">
      <c r="A71" s="49" t="s">
        <v>10</v>
      </c>
      <c r="B71" s="50">
        <f>IFERROR(__xludf.DUMMYFUNCTION("IMPORTRANGE(""10R5uUgg3xkAtZqjqFNBJJLynkxJ1lIqgci9y8UaTq6c"", ""SEP!H20"")"),4066209.0)</f>
        <v>4066209</v>
      </c>
      <c r="C71" s="51">
        <f>IFERROR(__xludf.DUMMYFUNCTION("IMPORTRANGE(""10R5uUgg3xkAtZqjqFNBJJLynkxJ1lIqgci9y8UaTq6c"", ""SEP!B20"")"),3197191.0)</f>
        <v>3197191</v>
      </c>
      <c r="D71" s="52">
        <f t="shared" si="17"/>
        <v>7263400</v>
      </c>
    </row>
    <row r="72">
      <c r="A72" s="53" t="s">
        <v>19</v>
      </c>
      <c r="B72" s="54">
        <f t="shared" ref="B72:C72" si="18">sum(B69:B71)</f>
        <v>11743736</v>
      </c>
      <c r="C72" s="55">
        <f t="shared" si="18"/>
        <v>9297394</v>
      </c>
      <c r="D72" s="62"/>
    </row>
    <row r="73">
      <c r="B73" s="46" t="s">
        <v>0</v>
      </c>
      <c r="C73" s="47" t="s">
        <v>1</v>
      </c>
      <c r="D73" s="48" t="s">
        <v>16</v>
      </c>
    </row>
    <row r="74">
      <c r="A74" s="49" t="s">
        <v>11</v>
      </c>
      <c r="B74" s="50">
        <f>IFERROR(__xludf.DUMMYFUNCTION("IMPORTRANGE(""10R5uUgg3xkAtZqjqFNBJJLynkxJ1lIqgci9y8UaTq6c"", ""MARCH!H20"")"),3457411.0)</f>
        <v>3457411</v>
      </c>
      <c r="C74" s="51">
        <f>IFERROR(__xludf.DUMMYFUNCTION("IMPORTRANGE(""10R5uUgg3xkAtZqjqFNBJJLynkxJ1lIqgci9y8UaTq6c"", ""MARCH!B20"")"),2815726.0)</f>
        <v>2815726</v>
      </c>
      <c r="D74" s="62"/>
    </row>
    <row r="75">
      <c r="A75" s="49" t="s">
        <v>12</v>
      </c>
      <c r="B75" s="50">
        <f>IFERROR(__xludf.DUMMYFUNCTION("IMPORTRANGE(""10R5uUgg3xkAtZqjqFNBJJLynkxJ1lIqgci9y8UaTq6c"", ""MARCH!H20"")"),3457411.0)</f>
        <v>3457411</v>
      </c>
      <c r="C75" s="51">
        <f>IFERROR(__xludf.DUMMYFUNCTION("IMPORTRANGE(""10R5uUgg3xkAtZqjqFNBJJLynkxJ1lIqgci9y8UaTq6c"", ""MARCH!B20"")"),2815726.0)</f>
        <v>2815726</v>
      </c>
      <c r="D75" s="62"/>
    </row>
    <row r="76">
      <c r="A76" s="49" t="s">
        <v>13</v>
      </c>
      <c r="B76" s="50">
        <f>IFERROR(__xludf.DUMMYFUNCTION("IMPORTRANGE(""10R5uUgg3xkAtZqjqFNBJJLynkxJ1lIqgci9y8UaTq6c"", ""MARCH!H20"")"),3457411.0)</f>
        <v>3457411</v>
      </c>
      <c r="C76" s="51">
        <f>IFERROR(__xludf.DUMMYFUNCTION("IMPORTRANGE(""10R5uUgg3xkAtZqjqFNBJJLynkxJ1lIqgci9y8UaTq6c"", ""MARCH!B20"")"),2815726.0)</f>
        <v>2815726</v>
      </c>
      <c r="D76" s="62"/>
    </row>
    <row r="77">
      <c r="A77" s="53" t="s">
        <v>20</v>
      </c>
      <c r="B77" s="63"/>
      <c r="C77" s="64"/>
      <c r="D77" s="62"/>
    </row>
    <row r="78">
      <c r="A78" s="65" t="s">
        <v>21</v>
      </c>
      <c r="B78" s="66"/>
      <c r="C78" s="66"/>
      <c r="D78" s="62"/>
    </row>
  </sheetData>
  <mergeCells count="3">
    <mergeCell ref="A2:D2"/>
    <mergeCell ref="A29:D29"/>
    <mergeCell ref="A57:D57"/>
  </mergeCells>
  <drawing r:id="rId1"/>
</worksheet>
</file>